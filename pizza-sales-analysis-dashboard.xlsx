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bdom\OneDrive\Desktop\data analysis\"/>
    </mc:Choice>
  </mc:AlternateContent>
  <xr:revisionPtr revIDLastSave="0" documentId="13_ncr:1_{07596157-CFBF-4ECD-B27C-2030ABA5F0A6}" xr6:coauthVersionLast="47" xr6:coauthVersionMax="47" xr10:uidLastSave="{00000000-0000-0000-0000-000000000000}"/>
  <bookViews>
    <workbookView xWindow="-120" yWindow="-120" windowWidth="20730" windowHeight="11160" activeTab="2" xr2:uid="{3D281B92-A318-44EC-B689-0A147C22DE1E}"/>
  </bookViews>
  <sheets>
    <sheet name="Data" sheetId="2" r:id="rId1"/>
    <sheet name="sours" sheetId="3" r:id="rId2"/>
    <sheet name="Dashboard" sheetId="4" r:id="rId3"/>
  </sheets>
  <definedNames>
    <definedName name="_xlcn.WorksheetConnection_بيانات.xlsxSheet11" hidden="1">Sheet1[]</definedName>
    <definedName name="ExternalData_1" localSheetId="0" hidden="1">Data!$A$1:$L$502</definedName>
    <definedName name="Slicer_order_date__Month">#N/A</definedName>
    <definedName name="Slicer_order_time__Hour">#N/A</definedName>
    <definedName name="Slicer_pizza_category">#N/A</definedName>
    <definedName name="Slicer_pizza_name">#N/A</definedName>
    <definedName name="Slicer_pizza_size">#N/A</definedName>
  </definedNames>
  <calcPr calcId="191029"/>
  <pivotCaches>
    <pivotCache cacheId="326" r:id="rId4"/>
    <pivotCache cacheId="329" r:id="rId5"/>
    <pivotCache cacheId="374" r:id="rId6"/>
    <pivotCache cacheId="377" r:id="rId7"/>
    <pivotCache cacheId="380" r:id="rId8"/>
    <pivotCache cacheId="383" r:id="rId9"/>
    <pivotCache cacheId="386" r:id="rId10"/>
    <pivotCache cacheId="389" r:id="rId11"/>
    <pivotCache cacheId="392" r:id="rId12"/>
    <pivotCache cacheId="395" r:id="rId13"/>
  </pivotCaches>
  <extLst>
    <ext xmlns:x14="http://schemas.microsoft.com/office/spreadsheetml/2009/9/main" uri="{876F7934-8845-4945-9796-88D515C7AA90}">
      <x14:pivotCaches>
        <pivotCache cacheId="152"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بيانات.xlsx!Sheet1"/>
        </x15:modelTables>
        <x15:extLst>
          <ext xmlns:x16="http://schemas.microsoft.com/office/spreadsheetml/2014/11/main" uri="{9835A34E-60A6-4A7C-AAB8-D5F71C897F49}">
            <x16:modelTimeGroupings>
              <x16:modelTimeGrouping tableName="Sheet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Sheet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1" i="3" l="1"/>
  <c r="T8" i="3"/>
  <c r="T7" i="3"/>
  <c r="T10" i="3"/>
  <c r="T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566381-0349-4BC8-8435-9FBBAB611E1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2539E470-D398-421A-99DD-EA9D8645C7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1E65B8-3707-4032-804D-A838848E48D7}" name="WorksheetConnection_بيانات.xlsx!Sheet1" type="102" refreshedVersion="8" minRefreshableVersion="5">
    <extLst>
      <ext xmlns:x15="http://schemas.microsoft.com/office/spreadsheetml/2010/11/main" uri="{DE250136-89BD-433C-8126-D09CA5730AF9}">
        <x15:connection id="Sheet1">
          <x15:rangePr sourceName="_xlcn.WorksheetConnection_بيانات.xlsxSheet11"/>
        </x15:connection>
      </ext>
    </extLst>
  </connection>
</connections>
</file>

<file path=xl/sharedStrings.xml><?xml version="1.0" encoding="utf-8"?>
<sst xmlns="http://schemas.openxmlformats.org/spreadsheetml/2006/main" count="3123" uniqueCount="675">
  <si>
    <t>order_id</t>
  </si>
  <si>
    <t>pizza_id</t>
  </si>
  <si>
    <t>Customer Name</t>
  </si>
  <si>
    <t>quantity</t>
  </si>
  <si>
    <t>order_date</t>
  </si>
  <si>
    <t>order_time</t>
  </si>
  <si>
    <t>unit_price</t>
  </si>
  <si>
    <t>total_price</t>
  </si>
  <si>
    <t>pizza_size</t>
  </si>
  <si>
    <t>pizza_category</t>
  </si>
  <si>
    <t>pizza_ingredients</t>
  </si>
  <si>
    <t>pizza_name</t>
  </si>
  <si>
    <t>classic_dlx_m</t>
  </si>
  <si>
    <t>Ashley Turner</t>
  </si>
  <si>
    <t>M</t>
  </si>
  <si>
    <t>Classic</t>
  </si>
  <si>
    <t>Pepperoni, Mushrooms, Red Onions, Red Peppers, Bacon</t>
  </si>
  <si>
    <t>The Classic Deluxe Pizza</t>
  </si>
  <si>
    <t>cali_ckn_l</t>
  </si>
  <si>
    <t>Taylor Mitchell</t>
  </si>
  <si>
    <t>L</t>
  </si>
  <si>
    <t>Chicken</t>
  </si>
  <si>
    <t>Chicken, Artichoke, Spinach, Garlic, Jalapeno Peppers, Fontina Cheese, Gouda Cheese</t>
  </si>
  <si>
    <t>The California Chicken Pizza</t>
  </si>
  <si>
    <t>five_cheese_l</t>
  </si>
  <si>
    <t>Amanda Clark</t>
  </si>
  <si>
    <t>Veggie</t>
  </si>
  <si>
    <t>Mozzarella Cheese, Provolone Cheese, Smoked Gouda Cheese, Romano Cheese, Blue Cheese, Garlic</t>
  </si>
  <si>
    <t>The Five Cheese Pizza</t>
  </si>
  <si>
    <t>soppressata_l</t>
  </si>
  <si>
    <t>Emily Parker</t>
  </si>
  <si>
    <t>Supreme</t>
  </si>
  <si>
    <t>Soppressata Salami, Fontina Cheese, Mozzarella Cheese, Mushrooms, Garlic</t>
  </si>
  <si>
    <t>The Soppressata Pizza</t>
  </si>
  <si>
    <t>the_greek_xl</t>
  </si>
  <si>
    <t>Jacob Wright</t>
  </si>
  <si>
    <t>XL</t>
  </si>
  <si>
    <t>Kalamata Olives, Feta Cheese, Tomatoes, Garlic, Beef Chuck Roast, Red Onions</t>
  </si>
  <si>
    <t>The Greek Pizza</t>
  </si>
  <si>
    <t>pepperoni_l</t>
  </si>
  <si>
    <t>Sophia Adams</t>
  </si>
  <si>
    <t>Mozzarella Cheese, Pepperoni</t>
  </si>
  <si>
    <t>The Pepperoni Pizza</t>
  </si>
  <si>
    <t>prsc_argla_s</t>
  </si>
  <si>
    <t>Jacob Harris</t>
  </si>
  <si>
    <t>S</t>
  </si>
  <si>
    <t>Prosciutto di San Daniele, Arugula, Mozzarella Cheese</t>
  </si>
  <si>
    <t>The Prosciutto and Arugula Pizza</t>
  </si>
  <si>
    <t>ital_supr_l</t>
  </si>
  <si>
    <t>Elizabeth Wright</t>
  </si>
  <si>
    <t>Calabrese Salami, Capocollo, Tomatoes, Red Onions, Green Olives, Garlic</t>
  </si>
  <si>
    <t>The Italian Supreme Pizza</t>
  </si>
  <si>
    <t>soppressata_s</t>
  </si>
  <si>
    <t>Hannah Garcia</t>
  </si>
  <si>
    <t>mexicana_s</t>
  </si>
  <si>
    <t>Zachary Smith</t>
  </si>
  <si>
    <t>Tomatoes, Red Peppers, Jalapeno Peppers, Red Onions, Cilantro, Corn, Chipotle Sauce, Garlic</t>
  </si>
  <si>
    <t>The Mexicana Pizza</t>
  </si>
  <si>
    <t>four_cheese_l</t>
  </si>
  <si>
    <t>Ashley Evans</t>
  </si>
  <si>
    <t>Ricotta Cheese, Gorgonzola Piccante Cheese, Mozzarella Cheese, Parmigiano Reggiano Cheese, Garlic</t>
  </si>
  <si>
    <t>The Four Cheese Pizza</t>
  </si>
  <si>
    <t>the_greek_m</t>
  </si>
  <si>
    <t>Megan Turner</t>
  </si>
  <si>
    <t>Logan Evans</t>
  </si>
  <si>
    <t>Megan Collins</t>
  </si>
  <si>
    <t>spicy_ital_l</t>
  </si>
  <si>
    <t>Amber Wright</t>
  </si>
  <si>
    <t>Capocollo, Tomatoes, Goat Cheese, Artichokes, Peperoncini verdi, Garlic</t>
  </si>
  <si>
    <t>The Spicy Italian Pizza</t>
  </si>
  <si>
    <t>ital_veggie_m</t>
  </si>
  <si>
    <t>Brandon Jones</t>
  </si>
  <si>
    <t>Eggplant, Artichokes, Tomatoes, Zucchini, Red Peppers, Garlic, Pesto Sauce</t>
  </si>
  <si>
    <t>The Italian Vegetables Pizza</t>
  </si>
  <si>
    <t>sicilian_s</t>
  </si>
  <si>
    <t>Samantha Lewis</t>
  </si>
  <si>
    <t>Coarse Sicilian Salami, Tomatoes, Green Olives, Luganega Sausage, Onions, Garlic</t>
  </si>
  <si>
    <t>The Sicilian Pizza</t>
  </si>
  <si>
    <t>Courtney Gonzalez</t>
  </si>
  <si>
    <t>bbq_ckn_s</t>
  </si>
  <si>
    <t>Alexis Smith</t>
  </si>
  <si>
    <t>Barbecued Chicken, Red Peppers, Green Peppers, Tomatoes, Red Onions, Barbecue Sauce</t>
  </si>
  <si>
    <t>The Barbecue Chicken Pizza</t>
  </si>
  <si>
    <t>Rachel Anderson</t>
  </si>
  <si>
    <t>sicilian_l</t>
  </si>
  <si>
    <t>Madison Davis</t>
  </si>
  <si>
    <t>peppr_salami_m</t>
  </si>
  <si>
    <t>Ashley Scott</t>
  </si>
  <si>
    <t>Genoa Salami, Capocollo, Pepperoni, Tomatoes, Asiago Cheese, Garlic</t>
  </si>
  <si>
    <t>The Pepper Salami Pizza</t>
  </si>
  <si>
    <t>southw_ckn_s</t>
  </si>
  <si>
    <t>Christopher King</t>
  </si>
  <si>
    <t>Chicken, Tomatoes, Red Peppers, Red Onions, Jalapeno Peppers, Corn, Cilantro, Chipotle Sauce</t>
  </si>
  <si>
    <t>The Southwest Chicken Pizza</t>
  </si>
  <si>
    <t>pepperoni_s</t>
  </si>
  <si>
    <t>Robert Thompson</t>
  </si>
  <si>
    <t>mediterraneo_l</t>
  </si>
  <si>
    <t>Elizabeth Moore</t>
  </si>
  <si>
    <t>Spinach, Artichokes, Kalamata Olives, Sun-dried Tomatoes, Feta Cheese, Plum Tomatoes, Red Onions</t>
  </si>
  <si>
    <t>The Mediterranean Pizza</t>
  </si>
  <si>
    <t>Sarah Parker</t>
  </si>
  <si>
    <t>thai_ckn_l</t>
  </si>
  <si>
    <t>Zachary Garcia</t>
  </si>
  <si>
    <t>Chicken, Pineapple, Tomatoes, Red Peppers, Thai Sweet Chilli Sauce</t>
  </si>
  <si>
    <t>The Thai Chicken Pizza</t>
  </si>
  <si>
    <t>hawaiian_l</t>
  </si>
  <si>
    <t>Brianna Moore</t>
  </si>
  <si>
    <t>Sliced Ham, Pineapple, Mozzarella Cheese</t>
  </si>
  <si>
    <t>The Hawaiian Pizza</t>
  </si>
  <si>
    <t>Ashley Garcia</t>
  </si>
  <si>
    <t>Amanda Torres</t>
  </si>
  <si>
    <t>bbq_ckn_l</t>
  </si>
  <si>
    <t>Jessica Martin</t>
  </si>
  <si>
    <t>Elizabeth Sanchez</t>
  </si>
  <si>
    <t>Dylan Wright</t>
  </si>
  <si>
    <t>spicy_ital_s</t>
  </si>
  <si>
    <t>Logan Hernandez</t>
  </si>
  <si>
    <t>mexicana_m</t>
  </si>
  <si>
    <t>Zachary Johnson</t>
  </si>
  <si>
    <t>Dylan Nelson</t>
  </si>
  <si>
    <t>veggie_veg_m</t>
  </si>
  <si>
    <t>Brianna Allen</t>
  </si>
  <si>
    <t>Mushrooms, Tomatoes, Red Peppers, Green Peppers, Red Onions, Zucchini, Spinach, Garlic</t>
  </si>
  <si>
    <t>The Vegetables + Vegetables Pizza</t>
  </si>
  <si>
    <t>peppr_salami_s</t>
  </si>
  <si>
    <t>Andrew Wright</t>
  </si>
  <si>
    <t>hawaiian_s</t>
  </si>
  <si>
    <t>Elizabeth Harris</t>
  </si>
  <si>
    <t>Anthony Ramirez</t>
  </si>
  <si>
    <t>ckn_alfredo_m</t>
  </si>
  <si>
    <t>Justin Allen</t>
  </si>
  <si>
    <t>Chicken, Red Onions, Red Peppers, Mushrooms, Asiago Cheese, Alfredo Sauce</t>
  </si>
  <si>
    <t>The Chicken Alfredo Pizza</t>
  </si>
  <si>
    <t>thai_ckn_m</t>
  </si>
  <si>
    <t>Jennifer Allen</t>
  </si>
  <si>
    <t>the_greek_l</t>
  </si>
  <si>
    <t>Amber Scott</t>
  </si>
  <si>
    <t>Justin Johnson</t>
  </si>
  <si>
    <t>ckn_pesto_l</t>
  </si>
  <si>
    <t>Victoria Perez</t>
  </si>
  <si>
    <t>Chicken, Tomatoes, Red Peppers, Spinach, Garlic, Pesto Sauce</t>
  </si>
  <si>
    <t>The Chicken Pesto Pizza</t>
  </si>
  <si>
    <t>Sophia Green</t>
  </si>
  <si>
    <t>Zachary Evans</t>
  </si>
  <si>
    <t>calabrese_l</t>
  </si>
  <si>
    <t>Sarah Green</t>
  </si>
  <si>
    <t>慛duja Salami, Pancetta, Tomatoes, Red Onions, Friggitello Peppers, Garlic</t>
  </si>
  <si>
    <t>The Calabrese Pizza</t>
  </si>
  <si>
    <t>Amber Evans</t>
  </si>
  <si>
    <t>Alexis Perez</t>
  </si>
  <si>
    <t>Sarah Martinez</t>
  </si>
  <si>
    <t>peppr_salami_l</t>
  </si>
  <si>
    <t>Justin Gonzalez</t>
  </si>
  <si>
    <t>sicilian_m</t>
  </si>
  <si>
    <t>Anthony Torres</t>
  </si>
  <si>
    <t>prsc_argla_m</t>
  </si>
  <si>
    <t>Matthew Wright</t>
  </si>
  <si>
    <t>Brandon Carter</t>
  </si>
  <si>
    <t>prsc_argla_l</t>
  </si>
  <si>
    <t>Matthew Thompson</t>
  </si>
  <si>
    <t>Amanda Lopez</t>
  </si>
  <si>
    <t>Robert Lopez</t>
  </si>
  <si>
    <t>southw_ckn_l</t>
  </si>
  <si>
    <t>Elizabeth Allen</t>
  </si>
  <si>
    <t>spin_pesto_s</t>
  </si>
  <si>
    <t>Jessica Roberts</t>
  </si>
  <si>
    <t>Spinach, Artichokes, Tomatoes, Sun-dried Tomatoes, Garlic, Pesto Sauce</t>
  </si>
  <si>
    <t>The Spinach Pesto Pizza</t>
  </si>
  <si>
    <t>Rachel Campbell</t>
  </si>
  <si>
    <t>Samantha Young</t>
  </si>
  <si>
    <t>big_meat_s</t>
  </si>
  <si>
    <t>Stephanie Scott</t>
  </si>
  <si>
    <t>Bacon, Pepperoni, Italian Sausage, Chorizo Sausage</t>
  </si>
  <si>
    <t>The Big Meat Pizza</t>
  </si>
  <si>
    <t>Alexander Williams</t>
  </si>
  <si>
    <t>classic_dlx_s</t>
  </si>
  <si>
    <t>Daniel White</t>
  </si>
  <si>
    <t>Lauren Phillips</t>
  </si>
  <si>
    <t>ital_cpcllo_l</t>
  </si>
  <si>
    <t>Daniel Allen</t>
  </si>
  <si>
    <t>Capocollo, Red Peppers, Tomatoes, Goat Cheese, Garlic, Oregano</t>
  </si>
  <si>
    <t>The Italian Capocollo Pizza</t>
  </si>
  <si>
    <t>napolitana_s</t>
  </si>
  <si>
    <t>Christopher Jackson</t>
  </si>
  <si>
    <t>Tomatoes, Anchovies, Green Olives, Red Onions, Garlic</t>
  </si>
  <si>
    <t>The Napolitana Pizza</t>
  </si>
  <si>
    <t>Anthony White</t>
  </si>
  <si>
    <t>hawaiian_m</t>
  </si>
  <si>
    <t>Amanda Young</t>
  </si>
  <si>
    <t>Alexander Smith</t>
  </si>
  <si>
    <t>Zachary Hernandez</t>
  </si>
  <si>
    <t>spin_pesto_l</t>
  </si>
  <si>
    <t>Alexis White</t>
  </si>
  <si>
    <t>Tyler Adams</t>
  </si>
  <si>
    <t>Brandon Williams</t>
  </si>
  <si>
    <t>green_garden_s</t>
  </si>
  <si>
    <t>Brianna Scott</t>
  </si>
  <si>
    <t>Spinach, Mushrooms, Tomatoes, Green Olives, Feta Cheese</t>
  </si>
  <si>
    <t>The Green Garden Pizza</t>
  </si>
  <si>
    <t>Victoria Thomas</t>
  </si>
  <si>
    <t>Olivia Lee</t>
  </si>
  <si>
    <t>ital_supr_m</t>
  </si>
  <si>
    <t>Hannah Jones</t>
  </si>
  <si>
    <t>spicy_ital_m</t>
  </si>
  <si>
    <t>Andrew Miller</t>
  </si>
  <si>
    <t>Sarah Allen</t>
  </si>
  <si>
    <t>William Allen</t>
  </si>
  <si>
    <t>Lauren Martin</t>
  </si>
  <si>
    <t>ital_veggie_l</t>
  </si>
  <si>
    <t>Linda Hall</t>
  </si>
  <si>
    <t>thai_ckn_s</t>
  </si>
  <si>
    <t>Olivia Brown</t>
  </si>
  <si>
    <t>ital_supr_s</t>
  </si>
  <si>
    <t>Nicholas Walker</t>
  </si>
  <si>
    <t>Nicholas Green</t>
  </si>
  <si>
    <t>veggie_veg_s</t>
  </si>
  <si>
    <t>Ethan Perez</t>
  </si>
  <si>
    <t>Alexis Campbell</t>
  </si>
  <si>
    <t>ckn_pesto_m</t>
  </si>
  <si>
    <t>Emily Wright</t>
  </si>
  <si>
    <t>Linda Hernandez</t>
  </si>
  <si>
    <t>calabrese_m</t>
  </si>
  <si>
    <t>Joseph Allen</t>
  </si>
  <si>
    <t>William Adams</t>
  </si>
  <si>
    <t>Kayla Lewis</t>
  </si>
  <si>
    <t>Tyler Clark</t>
  </si>
  <si>
    <t>Stephanie Clark</t>
  </si>
  <si>
    <t>the_greek_s</t>
  </si>
  <si>
    <t>Michael Anderson</t>
  </si>
  <si>
    <t>veggie_veg_l</t>
  </si>
  <si>
    <t>Ryan Clark</t>
  </si>
  <si>
    <t>Olivia Roberts</t>
  </si>
  <si>
    <t>Matthew Garcia</t>
  </si>
  <si>
    <t>Samantha Smith</t>
  </si>
  <si>
    <t>green_garden_m</t>
  </si>
  <si>
    <t>Victoria Hall</t>
  </si>
  <si>
    <t>Emily Williams</t>
  </si>
  <si>
    <t>John Garcia</t>
  </si>
  <si>
    <t>mexicana_l</t>
  </si>
  <si>
    <t>Robert Perez</t>
  </si>
  <si>
    <t>Joshua Smith</t>
  </si>
  <si>
    <t>Elizabeth Ramirez</t>
  </si>
  <si>
    <t>Emily Nelson</t>
  </si>
  <si>
    <t>Brianna Lee</t>
  </si>
  <si>
    <t>ckn_alfredo_l</t>
  </si>
  <si>
    <t>Brandon Harris</t>
  </si>
  <si>
    <t>Christopher Turner</t>
  </si>
  <si>
    <t>Justin Campbell</t>
  </si>
  <si>
    <t>bbq_ckn_m</t>
  </si>
  <si>
    <t>Dylan Carter</t>
  </si>
  <si>
    <t>John Campbell</t>
  </si>
  <si>
    <t>Daniel Scott</t>
  </si>
  <si>
    <t>Lauren Brown</t>
  </si>
  <si>
    <t>Kayla Phillips</t>
  </si>
  <si>
    <t>ital_cpcllo_m</t>
  </si>
  <si>
    <t>Hannah Miller</t>
  </si>
  <si>
    <t>cali_ckn_m</t>
  </si>
  <si>
    <t>Emily Brown</t>
  </si>
  <si>
    <t>Elizabeth Roberts</t>
  </si>
  <si>
    <t>Madison Evans</t>
  </si>
  <si>
    <t>Noah Scott</t>
  </si>
  <si>
    <t>John Hill</t>
  </si>
  <si>
    <t>Michael Collins</t>
  </si>
  <si>
    <t>James Wright</t>
  </si>
  <si>
    <t>spinach_fet_s</t>
  </si>
  <si>
    <t>Joseph Jones</t>
  </si>
  <si>
    <t>Spinach, Mushrooms, Red Onions, Feta Cheese, Garlic</t>
  </si>
  <si>
    <t>The Spinach and Feta Pizza</t>
  </si>
  <si>
    <t>Brianna Lopez</t>
  </si>
  <si>
    <t>Emily Young</t>
  </si>
  <si>
    <t>pepperoni_m</t>
  </si>
  <si>
    <t>Christopher Martinez</t>
  </si>
  <si>
    <t>Sophia Perez</t>
  </si>
  <si>
    <t>Anthony Nelson</t>
  </si>
  <si>
    <t>Courtney Baker</t>
  </si>
  <si>
    <t>Jacob Gonzalez</t>
  </si>
  <si>
    <t>napolitana_m</t>
  </si>
  <si>
    <t>Ryan Phillips</t>
  </si>
  <si>
    <t>Sophia Sanchez</t>
  </si>
  <si>
    <t>Ryan Miller</t>
  </si>
  <si>
    <t>Noah Lee</t>
  </si>
  <si>
    <t>Sarah Thompson</t>
  </si>
  <si>
    <t>mediterraneo_s</t>
  </si>
  <si>
    <t>Olivia King</t>
  </si>
  <si>
    <t>William Ramirez</t>
  </si>
  <si>
    <t>Joseph Lee</t>
  </si>
  <si>
    <t>Ethan Williams</t>
  </si>
  <si>
    <t>Andrew Jackson</t>
  </si>
  <si>
    <t>Brittany King</t>
  </si>
  <si>
    <t>Rachel Hill</t>
  </si>
  <si>
    <t>Amanda Green</t>
  </si>
  <si>
    <t>Rachel Johnson</t>
  </si>
  <si>
    <t>cali_ckn_s</t>
  </si>
  <si>
    <t>Victoria Roberts</t>
  </si>
  <si>
    <t>Justin Nelson</t>
  </si>
  <si>
    <t>Ashley Nelson</t>
  </si>
  <si>
    <t>soppressata_m</t>
  </si>
  <si>
    <t>Joseph Evans</t>
  </si>
  <si>
    <t>mediterraneo_m</t>
  </si>
  <si>
    <t>Hannah Phillips</t>
  </si>
  <si>
    <t>Dylan Robinson</t>
  </si>
  <si>
    <t>Lauren King</t>
  </si>
  <si>
    <t>James Sanchez</t>
  </si>
  <si>
    <t>Megan Thomas</t>
  </si>
  <si>
    <t>Rachel Evans</t>
  </si>
  <si>
    <t>Alexis Davis</t>
  </si>
  <si>
    <t>Joseph Garcia</t>
  </si>
  <si>
    <t>spinach_fet_l</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</si>
  <si>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</si>
  <si>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</si>
  <si>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</si>
  <si>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</si>
  <si>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</si>
  <si>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</si>
  <si>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</si>
  <si>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</si>
  <si>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</si>
  <si>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</si>
  <si>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</si>
  <si>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</si>
  <si>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</si>
  <si>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spin_pesto_m</t>
  </si>
  <si>
    <t>Elizabeth Collins</t>
  </si>
  <si>
    <t>Noah Ramirez</t>
  </si>
  <si>
    <t>Megan Mitchell</t>
  </si>
  <si>
    <t>Logan Moore</t>
  </si>
  <si>
    <t>spinach_supr_l</t>
  </si>
  <si>
    <t>Emily Harris</t>
  </si>
  <si>
    <t>Spinach, Red Onions, Pepperoni, Tomatoes, Artichokes, Kalamata Olives, Garlic, Asiago Cheese</t>
  </si>
  <si>
    <t>The Spinach Supreme Pizza</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</si>
  <si>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</si>
  <si>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</si>
  <si>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</si>
  <si>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</si>
  <si>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</si>
  <si>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</si>
  <si>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</si>
  <si>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</si>
  <si>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</si>
  <si>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</si>
  <si>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</si>
  <si>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</si>
  <si>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</si>
  <si>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</si>
  <si>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</si>
  <si>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</si>
  <si>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</si>
  <si>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</si>
  <si>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</si>
  <si>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</si>
  <si>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</si>
  <si>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</si>
  <si>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</si>
  <si>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</si>
  <si>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</si>
  <si>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</si>
  <si>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</si>
  <si>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</si>
  <si>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</si>
  <si>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</si>
  <si>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</si>
  <si>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</si>
  <si>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</si>
  <si>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</si>
  <si>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</si>
  <si>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</si>
  <si>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pep_msh_pep_m</t>
  </si>
  <si>
    <t>Olivia Ramirez</t>
  </si>
  <si>
    <t>Pepperoni, Mushrooms, Green Peppers</t>
  </si>
  <si>
    <t>The Pepperoni, Mushroom, and Peppers Pizza</t>
  </si>
  <si>
    <t>Jacob Hernandez</t>
  </si>
  <si>
    <t>Hannah Gonzalez</t>
  </si>
  <si>
    <t>Rachel Perez</t>
  </si>
  <si>
    <t>Brandon Parker</t>
  </si>
  <si>
    <t>Michael Baker</t>
  </si>
  <si>
    <t>Ethan Baker</t>
  </si>
  <si>
    <t>Courtney Johnson</t>
  </si>
  <si>
    <t>Jacob Garcia</t>
  </si>
  <si>
    <t>Megan Williams</t>
  </si>
  <si>
    <t>Daniel Parker</t>
  </si>
  <si>
    <t>Andrew Mitchell</t>
  </si>
  <si>
    <t>calabrese_s</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</si>
  <si>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</si>
  <si>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</si>
  <si>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</si>
  <si>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</si>
  <si>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</si>
  <si>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</si>
  <si>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</si>
  <si>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</si>
  <si>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</si>
  <si>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</si>
  <si>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</si>
  <si>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</si>
  <si>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</si>
  <si>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</si>
  <si>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</si>
  <si>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</si>
  <si>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</si>
  <si>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</si>
  <si>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</si>
  <si>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</si>
  <si>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</si>
  <si>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</si>
  <si>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</si>
  <si>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classic_dlx_l</t>
  </si>
  <si>
    <t>Courtney Walker</t>
  </si>
  <si>
    <t>four_cheese_m</t>
  </si>
  <si>
    <t>Madison Carter</t>
  </si>
  <si>
    <t>Zachary Moore</t>
  </si>
  <si>
    <t>Logan Green</t>
  </si>
  <si>
    <t>pep_msh_pep_s</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</si>
  <si>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</si>
  <si>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</si>
  <si>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</si>
  <si>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</si>
  <si>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</si>
  <si>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</si>
  <si>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</si>
  <si>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</si>
  <si>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</si>
  <si>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</si>
  <si>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</si>
  <si>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</si>
  <si>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</si>
  <si>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</si>
  <si>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napolitana_l</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</si>
  <si>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</si>
  <si>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</si>
  <si>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</si>
  <si>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</si>
  <si>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</si>
  <si>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</si>
  <si>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</si>
  <si>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</si>
  <si>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</si>
  <si>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</si>
  <si>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</si>
  <si>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</si>
  <si>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ital_cpcllo_s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</si>
  <si>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</si>
  <si>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</si>
  <si>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</si>
  <si>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</si>
  <si>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</si>
  <si>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</si>
  <si>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</si>
  <si>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</si>
  <si>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</si>
  <si>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</si>
  <si>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</si>
  <si>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</si>
  <si>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</si>
  <si>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</si>
  <si>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</si>
  <si>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</si>
  <si>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</si>
  <si>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</si>
  <si>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</si>
  <si>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</si>
  <si>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</si>
  <si>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</si>
  <si>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</si>
  <si>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</si>
  <si>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</si>
  <si>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</si>
  <si>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</si>
  <si>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</si>
  <si>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</si>
  <si>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</si>
  <si>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</si>
  <si>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spinach_supr_s</t>
  </si>
  <si>
    <t>Kayla King</t>
  </si>
  <si>
    <t>Justin Lee</t>
  </si>
  <si>
    <t>Ethan Jones</t>
  </si>
  <si>
    <t>Brianna Brown</t>
  </si>
  <si>
    <t>ital_veggie_s</t>
  </si>
  <si>
    <t>Courtney Perez</t>
  </si>
  <si>
    <t>Zachary Jones</t>
  </si>
  <si>
    <t>Kayla Martinez</t>
  </si>
  <si>
    <t>spinach_fet_m</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</si>
  <si>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</si>
  <si>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</si>
  <si>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</si>
  <si>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</si>
  <si>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</si>
  <si>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</si>
  <si>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</si>
  <si>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</si>
  <si>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</si>
  <si>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</si>
  <si>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</si>
  <si>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</si>
  <si>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</si>
  <si>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</si>
  <si>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</si>
  <si>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</si>
  <si>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</si>
  <si>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ckn_pesto_s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</si>
  <si>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</si>
  <si>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</si>
  <si>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</si>
  <si>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</si>
  <si>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</si>
  <si>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</si>
  <si>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</si>
  <si>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</si>
  <si>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</si>
  <si>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</si>
  <si>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</si>
  <si>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</si>
  <si>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</si>
  <si>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</si>
  <si>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</si>
  <si>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</si>
  <si>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</si>
  <si>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</si>
  <si>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</si>
  <si>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</si>
  <si>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</si>
  <si>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</si>
  <si>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</si>
  <si>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</si>
  <si>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</si>
  <si>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</si>
  <si>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</si>
  <si>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</si>
  <si>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</si>
  <si>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</si>
  <si>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</si>
  <si>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</si>
  <si>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</si>
  <si>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</si>
  <si>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</si>
  <si>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</si>
  <si>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</si>
  <si>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</si>
  <si>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</si>
  <si>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</si>
  <si>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</si>
  <si>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</si>
  <si>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</si>
  <si>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</si>
  <si>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</si>
  <si>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</si>
  <si>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</si>
  <si>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</si>
  <si>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</si>
  <si>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</si>
  <si>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</si>
  <si>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</si>
  <si>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</si>
  <si>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</si>
  <si>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</si>
  <si>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</si>
  <si>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</si>
  <si>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</si>
  <si>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</si>
  <si>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</si>
  <si>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</si>
  <si>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pep_msh_pep_l</t>
  </si>
  <si>
    <t>Madison Lee</t>
  </si>
  <si>
    <t>John Evans</t>
  </si>
  <si>
    <t>Michael Thomas</t>
  </si>
  <si>
    <t>Emily Phillips</t>
  </si>
  <si>
    <t>Samantha Baker</t>
  </si>
  <si>
    <t>ckn_alfredo_s</t>
  </si>
  <si>
    <t>Noah Nelson</t>
  </si>
  <si>
    <t>Robert Hernandez</t>
  </si>
  <si>
    <t>Nicholas Jones</t>
  </si>
  <si>
    <t>Madison Hernandez</t>
  </si>
  <si>
    <t>James Jones</t>
  </si>
  <si>
    <t>Rachel Roberts</t>
  </si>
  <si>
    <t>Robert Hill</t>
  </si>
  <si>
    <t>Brittany Baker</t>
  </si>
  <si>
    <t>Jacob Smith</t>
  </si>
  <si>
    <t>Emily Taylor</t>
  </si>
  <si>
    <t>spinach_supr_m</t>
  </si>
  <si>
    <t>Ashley Clark</t>
  </si>
  <si>
    <t>Courtney Williams</t>
  </si>
  <si>
    <t>Sophia Jones</t>
  </si>
  <si>
    <t>Alexis Evans</t>
  </si>
  <si>
    <t>David Gonzalez</t>
  </si>
  <si>
    <t>southw_ckn_m</t>
  </si>
  <si>
    <t>Samantha Jackson</t>
  </si>
  <si>
    <t>brie_carre_s</t>
  </si>
  <si>
    <t>Brianna Young</t>
  </si>
  <si>
    <t>Brie Carre Cheese, Prosciutto, Caramelized Onions, Pears, Thyme, Garlic</t>
  </si>
  <si>
    <t>The Brie Carre Pizza</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</si>
  <si>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</si>
  <si>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</si>
  <si>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</si>
  <si>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</si>
  <si>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</si>
  <si>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</si>
  <si>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</si>
  <si>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</si>
  <si>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</si>
  <si>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</si>
  <si>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</si>
  <si>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</si>
  <si>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</si>
  <si>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</si>
  <si>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</si>
  <si>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</si>
  <si>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</si>
  <si>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</si>
  <si>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</si>
  <si>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</si>
  <si>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</si>
  <si>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</si>
  <si>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</si>
  <si>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</si>
  <si>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</si>
  <si>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</si>
  <si>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</si>
  <si>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</si>
  <si>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</si>
  <si>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</si>
  <si>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</si>
  <si>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</si>
  <si>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</si>
  <si>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</si>
  <si>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</si>
  <si>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</si>
  <si>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</si>
  <si>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</si>
  <si>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</si>
  <si>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</si>
  <si>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</si>
  <si>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</si>
  <si>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</si>
  <si>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</si>
  <si>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</si>
  <si>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</si>
  <si>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</si>
  <si>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</si>
  <si>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</si>
  <si>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</si>
  <si>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Row Labels</t>
  </si>
  <si>
    <t>Grand Total</t>
  </si>
  <si>
    <t>Sum of total_price</t>
  </si>
  <si>
    <t>يناير</t>
  </si>
  <si>
    <t>فبراير</t>
  </si>
  <si>
    <t>مارس</t>
  </si>
  <si>
    <t>أبريل</t>
  </si>
  <si>
    <t>مايو</t>
  </si>
  <si>
    <t>يونيو</t>
  </si>
  <si>
    <t>يوليو</t>
  </si>
  <si>
    <t>أغسطس</t>
  </si>
  <si>
    <t>سبتمبر</t>
  </si>
  <si>
    <t>أكتوبر</t>
  </si>
  <si>
    <t>نوفمبر</t>
  </si>
  <si>
    <t>ديسمبر</t>
  </si>
  <si>
    <t>11</t>
  </si>
  <si>
    <t>12</t>
  </si>
  <si>
    <t>13</t>
  </si>
  <si>
    <t>15</t>
  </si>
  <si>
    <t>16</t>
  </si>
  <si>
    <t>17</t>
  </si>
  <si>
    <t>20</t>
  </si>
  <si>
    <t>14</t>
  </si>
  <si>
    <t>19</t>
  </si>
  <si>
    <t>22</t>
  </si>
  <si>
    <t>21</t>
  </si>
  <si>
    <t>18</t>
  </si>
  <si>
    <t>Column Labels</t>
  </si>
  <si>
    <t>Sum of quantity</t>
  </si>
  <si>
    <t>Total customers</t>
  </si>
  <si>
    <t>Total sales</t>
  </si>
  <si>
    <t>Values</t>
  </si>
  <si>
    <t>Total Quantity</t>
  </si>
  <si>
    <t>sales per customer</t>
  </si>
  <si>
    <t>sales per quantity</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</si>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</sst>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409]h:mm\ AM/PM;@"/>
    <numFmt numFmtId="165" formatCode="#,##0.0"/>
  </numFmts>
  <fonts count="2" x14ac:knownFonts="1">
    <font>
      <sz val="11"/>
      <color theme="1"/>
      <name val="Arial"/>
      <family val="2"/>
      <charset val="178"/>
      <scheme val="minor"/>
    </font>
    <font>
      <sz val="8"/>
      <color theme="1"/>
      <name val="Arial"/>
      <family val="2"/>
      <charset val="178"/>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applyAlignment="1">
      <alignment horizontal="left"/>
    </xf>
    <xf numFmtId="164" fontId="0" fillId="0" borderId="0" xfId="0" applyNumberFormat="1"/>
    <xf numFmtId="164" fontId="0" fillId="0" borderId="0" xfId="0" pivotButton="1" applyNumberFormat="1"/>
    <xf numFmtId="3" fontId="0" fillId="0" borderId="0" xfId="0" applyNumberFormat="1"/>
    <xf numFmtId="0" fontId="0" fillId="2" borderId="0" xfId="0" applyFill="1"/>
    <xf numFmtId="1" fontId="0" fillId="0" borderId="0" xfId="0" applyNumberFormat="1"/>
    <xf numFmtId="0" fontId="1" fillId="2" borderId="0" xfId="0" applyFont="1" applyFill="1"/>
    <xf numFmtId="44" fontId="0" fillId="0" borderId="0" xfId="0" applyNumberFormat="1"/>
  </cellXfs>
  <cellStyles count="1">
    <cellStyle name="Normal" xfId="0" builtinId="0"/>
  </cellStyles>
  <dxfs count="98">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34" formatCode="_(&quot;$&quot;* #,##0.00_);_(&quot;$&quot;* \(#,##0.00\);_(&quot;$&quot;* &quot;-&quot;??_);_(@_)"/>
    </dxf>
    <dxf>
      <numFmt numFmtId="34" formatCode="_(&quot;$&quot;* #,##0.00_);_(&quot;$&quot;* \(#,##0.00\);_(&quot;$&quot;* &quot;-&quot;??_);_(@_)"/>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34" formatCode="_(&quot;$&quot;* #,##0.00_);_(&quot;$&quot;* \(#,##0.00\);_(&quot;$&quot;* &quot;-&quot;??_);_(@_)"/>
    </dxf>
    <dxf>
      <numFmt numFmtId="34" formatCode="_(&quot;$&quot;* #,##0.00_);_(&quot;$&quot;* \(#,##0.00\);_(&quot;$&quot;* &quot;-&quot;??_);_(@_)"/>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6" formatCode="dd/mm/yyyy"/>
    </dxf>
    <dxf>
      <numFmt numFmtId="0" formatCode="General"/>
    </dxf>
    <dxf>
      <font>
        <b/>
        <i val="0"/>
        <sz val="6"/>
        <name val="Diwani Letter"/>
        <charset val="178"/>
        <scheme val="none"/>
      </font>
      <fill>
        <patternFill>
          <bgColor theme="5" tint="-0.24994659260841701"/>
        </patternFill>
      </fill>
    </dxf>
    <dxf>
      <font>
        <b/>
        <i val="0"/>
        <sz val="7"/>
        <color theme="0"/>
      </font>
      <fill>
        <patternFill>
          <bgColor theme="2" tint="-0.499984740745262"/>
        </patternFill>
      </fill>
    </dxf>
    <dxf>
      <font>
        <color theme="0"/>
      </font>
      <fill>
        <patternFill>
          <bgColor theme="5" tint="-0.24994659260841701"/>
        </patternFill>
      </fill>
    </dxf>
  </dxfs>
  <tableStyles count="4" defaultTableStyle="TableStyleMedium2" defaultPivotStyle="PivotStyleLight16">
    <tableStyle name="Slicer Style 1" pivot="0" table="0" count="1" xr9:uid="{116EE85C-0F64-4E94-AD44-2580530A427F}"/>
    <tableStyle name="Slicer Style 2" pivot="0" table="0" count="1" xr9:uid="{1C495619-76DD-49A6-9270-FE9F1FF2CA01}"/>
    <tableStyle name="Slicer Style 3" pivot="0" table="0" count="1" xr9:uid="{B9CB426E-EF46-4E13-A500-7656E585AA69}">
      <tableStyleElement type="wholeTable" dxfId="97"/>
    </tableStyle>
    <tableStyle name="Slicer Style 4" pivot="0" table="0" count="10" xr9:uid="{56BFB5CD-8D36-46F9-8A7B-4D911B929B60}">
      <tableStyleElement type="wholeTable" dxfId="96"/>
      <tableStyleElement type="headerRow" dxfId="95"/>
    </tableStyle>
  </tableStyles>
  <extLst>
    <ext xmlns:x14="http://schemas.microsoft.com/office/spreadsheetml/2009/9/main" uri="{46F421CA-312F-682f-3DD2-61675219B42D}">
      <x14:dxfs count="10">
        <dxf>
          <font>
            <color theme="1"/>
          </font>
          <fill>
            <patternFill>
              <bgColor theme="5" tint="0.59996337778862885"/>
            </patternFill>
          </fill>
        </dxf>
        <dxf>
          <fill>
            <patternFill>
              <bgColor theme="7" tint="-0.499984740745262"/>
            </patternFill>
          </fill>
        </dxf>
        <dxf>
          <fill>
            <patternFill>
              <bgColor theme="5" tint="0.39994506668294322"/>
            </patternFill>
          </fill>
        </dxf>
        <dxf>
          <font>
            <color theme="1"/>
          </font>
          <fill>
            <patternFill>
              <bgColor theme="5" tint="0.59996337778862885"/>
            </patternFill>
          </fill>
        </dxf>
        <dxf>
          <fill>
            <patternFill patternType="solid">
              <fgColor auto="1"/>
              <bgColor theme="5"/>
            </patternFill>
          </fill>
        </dxf>
        <dxf>
          <fill>
            <patternFill>
              <bgColor theme="5"/>
            </patternFill>
          </fill>
        </dxf>
        <dxf>
          <fill>
            <patternFill>
              <bgColor theme="5" tint="0.39994506668294322"/>
            </patternFill>
          </fill>
        </dxf>
        <dxf>
          <fill>
            <patternFill patternType="solid">
              <bgColor theme="5" tint="0.39994506668294322"/>
            </patternFill>
          </fill>
        </dxf>
        <dxf>
          <fill>
            <patternFill>
              <bgColor theme="4" tint="-0.499984740745262"/>
            </patternFill>
          </fill>
        </dxf>
        <dxf>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9"/>
          </x14:slicerStyleElements>
        </x14:slicerStyle>
        <x14:slicerStyle name="Slicer Style 2">
          <x14:slicerStyleElements>
            <x14:slicerStyleElement type="selectedItemWithData" dxfId="8"/>
          </x14:slicerStyleElements>
        </x14:slicerStyle>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10 customers</c:name>
    <c:fmtId val="0"/>
  </c:pivotSource>
  <c:chart>
    <c:title>
      <c:tx>
        <c:rich>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r>
              <a:rPr lang="en-US" sz="1400">
                <a:solidFill>
                  <a:schemeClr val="bg1"/>
                </a:solidFill>
              </a:rPr>
              <a:t>Top 10 customers By</a:t>
            </a:r>
            <a:r>
              <a:rPr lang="en-US" sz="1400" baseline="0">
                <a:solidFill>
                  <a:schemeClr val="bg1"/>
                </a:solidFill>
              </a:rPr>
              <a:t> quantity</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sours!$D$13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sours!$C$14:$C$24</c:f>
              <c:strCache>
                <c:ptCount val="10"/>
                <c:pt idx="0">
                  <c:v>Stephanie Allen</c:v>
                </c:pt>
                <c:pt idx="1">
                  <c:v>Emily Parker</c:v>
                </c:pt>
                <c:pt idx="2">
                  <c:v>Dylan Nelson</c:v>
                </c:pt>
                <c:pt idx="3">
                  <c:v>Christopher Turner</c:v>
                </c:pt>
                <c:pt idx="4">
                  <c:v>Noah Scott</c:v>
                </c:pt>
                <c:pt idx="5">
                  <c:v>Emily Young</c:v>
                </c:pt>
                <c:pt idx="6">
                  <c:v>Brandon Williams</c:v>
                </c:pt>
                <c:pt idx="7">
                  <c:v>Daniel Parker</c:v>
                </c:pt>
                <c:pt idx="8">
                  <c:v>Andrew Hernandez</c:v>
                </c:pt>
                <c:pt idx="9">
                  <c:v>Courtney Young</c:v>
                </c:pt>
              </c:strCache>
            </c:strRef>
          </c:cat>
          <c:val>
            <c:numRef>
              <c:f>sours!$D$14:$D$24</c:f>
              <c:numCache>
                <c:formatCode>General</c:formatCode>
                <c:ptCount val="10"/>
                <c:pt idx="0">
                  <c:v>40.5</c:v>
                </c:pt>
                <c:pt idx="1">
                  <c:v>41</c:v>
                </c:pt>
                <c:pt idx="2">
                  <c:v>41.5</c:v>
                </c:pt>
                <c:pt idx="3">
                  <c:v>41.5</c:v>
                </c:pt>
                <c:pt idx="4">
                  <c:v>45.75</c:v>
                </c:pt>
                <c:pt idx="5">
                  <c:v>48</c:v>
                </c:pt>
                <c:pt idx="6">
                  <c:v>48</c:v>
                </c:pt>
                <c:pt idx="7">
                  <c:v>53</c:v>
                </c:pt>
                <c:pt idx="8">
                  <c:v>83</c:v>
                </c:pt>
                <c:pt idx="9">
                  <c:v>1060.5</c:v>
                </c:pt>
              </c:numCache>
            </c:numRef>
          </c:val>
          <c:extLst>
            <c:ext xmlns:c16="http://schemas.microsoft.com/office/drawing/2014/chart" uri="{C3380CC4-5D6E-409C-BE32-E72D297353CC}">
              <c16:uniqueId val="{00000004-743C-49EC-BD75-6986E0765E1C}"/>
            </c:ext>
          </c:extLst>
        </c:ser>
        <c:dLbls>
          <c:showLegendKey val="0"/>
          <c:showVal val="1"/>
          <c:showCatName val="0"/>
          <c:showSerName val="0"/>
          <c:showPercent val="0"/>
          <c:showBubbleSize val="0"/>
        </c:dLbls>
        <c:gapWidth val="84"/>
        <c:gapDepth val="53"/>
        <c:shape val="box"/>
        <c:axId val="293400112"/>
        <c:axId val="293400592"/>
        <c:axId val="0"/>
      </c:bar3DChart>
      <c:catAx>
        <c:axId val="293400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93400592"/>
        <c:crosses val="autoZero"/>
        <c:auto val="1"/>
        <c:lblAlgn val="ctr"/>
        <c:lblOffset val="100"/>
        <c:noMultiLvlLbl val="0"/>
      </c:catAx>
      <c:valAx>
        <c:axId val="2934005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934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in mounth</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Months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sours!$I$13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sours!$H$14:$H$26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sours!$I$14:$I$26</c:f>
              <c:numCache>
                <c:formatCode>General</c:formatCode>
                <c:ptCount val="12"/>
                <c:pt idx="0">
                  <c:v>578.4</c:v>
                </c:pt>
                <c:pt idx="1">
                  <c:v>527.70000000000005</c:v>
                </c:pt>
                <c:pt idx="2">
                  <c:v>519.65</c:v>
                </c:pt>
                <c:pt idx="3">
                  <c:v>630.70000000000005</c:v>
                </c:pt>
                <c:pt idx="4">
                  <c:v>832.35</c:v>
                </c:pt>
                <c:pt idx="5">
                  <c:v>859.15</c:v>
                </c:pt>
                <c:pt idx="6">
                  <c:v>779.95</c:v>
                </c:pt>
                <c:pt idx="7">
                  <c:v>858.25</c:v>
                </c:pt>
                <c:pt idx="8">
                  <c:v>802.65</c:v>
                </c:pt>
                <c:pt idx="9">
                  <c:v>713.5</c:v>
                </c:pt>
                <c:pt idx="10">
                  <c:v>638.6</c:v>
                </c:pt>
                <c:pt idx="11">
                  <c:v>1786.65</c:v>
                </c:pt>
              </c:numCache>
            </c:numRef>
          </c:val>
          <c:smooth val="0"/>
          <c:extLst>
            <c:ext xmlns:c16="http://schemas.microsoft.com/office/drawing/2014/chart" uri="{C3380CC4-5D6E-409C-BE32-E72D297353CC}">
              <c16:uniqueId val="{00000005-F607-4894-8A5E-01999F60E17E}"/>
            </c:ext>
          </c:extLst>
        </c:ser>
        <c:dLbls>
          <c:dLblPos val="t"/>
          <c:showLegendKey val="0"/>
          <c:showVal val="1"/>
          <c:showCatName val="0"/>
          <c:showSerName val="0"/>
          <c:showPercent val="0"/>
          <c:showBubbleSize val="0"/>
        </c:dLbls>
        <c:marker val="1"/>
        <c:smooth val="0"/>
        <c:axId val="293403472"/>
        <c:axId val="293398672"/>
      </c:lineChart>
      <c:catAx>
        <c:axId val="29340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93398672"/>
        <c:crosses val="autoZero"/>
        <c:auto val="1"/>
        <c:lblAlgn val="ctr"/>
        <c:lblOffset val="100"/>
        <c:noMultiLvlLbl val="0"/>
      </c:catAx>
      <c:valAx>
        <c:axId val="2933986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9340347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by time</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a:t>
            </a:r>
            <a:r>
              <a:rPr lang="en-US" sz="1400" baseline="0"/>
              <a:t> By Time</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sours!$D$44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sours!$C$45:$C$58</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sours!$D$45:$D$58</c:f>
              <c:numCache>
                <c:formatCode>General</c:formatCode>
                <c:ptCount val="13"/>
                <c:pt idx="0">
                  <c:v>445.6</c:v>
                </c:pt>
                <c:pt idx="1">
                  <c:v>920.1</c:v>
                </c:pt>
                <c:pt idx="2">
                  <c:v>991.45</c:v>
                </c:pt>
                <c:pt idx="3">
                  <c:v>679.6</c:v>
                </c:pt>
                <c:pt idx="4">
                  <c:v>557.45000000000005</c:v>
                </c:pt>
                <c:pt idx="5">
                  <c:v>662</c:v>
                </c:pt>
                <c:pt idx="6">
                  <c:v>1197.45</c:v>
                </c:pt>
                <c:pt idx="7">
                  <c:v>1959.3</c:v>
                </c:pt>
                <c:pt idx="8">
                  <c:v>954.3</c:v>
                </c:pt>
                <c:pt idx="9">
                  <c:v>439.6</c:v>
                </c:pt>
                <c:pt idx="10">
                  <c:v>478.7</c:v>
                </c:pt>
                <c:pt idx="11">
                  <c:v>204.5</c:v>
                </c:pt>
                <c:pt idx="12">
                  <c:v>37.5</c:v>
                </c:pt>
              </c:numCache>
            </c:numRef>
          </c:val>
          <c:extLst>
            <c:ext xmlns:c16="http://schemas.microsoft.com/office/drawing/2014/chart" uri="{C3380CC4-5D6E-409C-BE32-E72D297353CC}">
              <c16:uniqueId val="{00000004-4BB8-4E2B-B776-78FE7AACAD56}"/>
            </c:ext>
          </c:extLst>
        </c:ser>
        <c:dLbls>
          <c:showLegendKey val="0"/>
          <c:showVal val="0"/>
          <c:showCatName val="0"/>
          <c:showSerName val="0"/>
          <c:showPercent val="0"/>
          <c:showBubbleSize val="0"/>
        </c:dLbls>
        <c:axId val="293399152"/>
        <c:axId val="293402512"/>
      </c:areaChart>
      <c:catAx>
        <c:axId val="2933991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93402512"/>
        <c:crosses val="autoZero"/>
        <c:auto val="1"/>
        <c:lblAlgn val="ctr"/>
        <c:lblOffset val="100"/>
        <c:noMultiLvlLbl val="0"/>
      </c:catAx>
      <c:valAx>
        <c:axId val="293402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93399152"/>
        <c:crosses val="autoZero"/>
        <c:crossBetween val="midCat"/>
      </c:valAx>
      <c:dTable>
        <c:showHorzBorder val="1"/>
        <c:showVertBorder val="1"/>
        <c:showOutline val="0"/>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ar-EG"/>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[dashboard.xlsx]sours!Quantities By Category &amp; Size</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Quantities By Category &amp; Size</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sours!$I$49:$I$50</c:f>
              <c:strCache>
                <c:ptCount val="1"/>
                <c:pt idx="0">
                  <c:v>Chicken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sours!$I$51:$I$55</c:f>
              <c:numCache>
                <c:formatCode>General</c:formatCode>
                <c:ptCount val="4"/>
                <c:pt idx="0">
                  <c:v>19</c:v>
                </c:pt>
                <c:pt idx="1">
                  <c:v>103</c:v>
                </c:pt>
                <c:pt idx="2">
                  <c:v>24</c:v>
                </c:pt>
              </c:numCache>
            </c:numRef>
          </c:val>
          <c:extLst>
            <c:ext xmlns:c16="http://schemas.microsoft.com/office/drawing/2014/chart" uri="{C3380CC4-5D6E-409C-BE32-E72D297353CC}">
              <c16:uniqueId val="{00000015-215D-45B7-87C2-44F32203CE3D}"/>
            </c:ext>
          </c:extLst>
        </c:ser>
        <c:ser>
          <c:idx val="1"/>
          <c:order val="1"/>
          <c:tx>
            <c:strRef>
              <c:f>sours!$J$49:$J$50</c:f>
              <c:strCache>
                <c:ptCount val="1"/>
                <c:pt idx="0">
                  <c:v>Classic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sours!$J$51:$J$55</c:f>
              <c:numCache>
                <c:formatCode>General</c:formatCode>
                <c:ptCount val="4"/>
                <c:pt idx="0">
                  <c:v>167</c:v>
                </c:pt>
                <c:pt idx="1">
                  <c:v>37</c:v>
                </c:pt>
                <c:pt idx="2">
                  <c:v>37</c:v>
                </c:pt>
                <c:pt idx="3">
                  <c:v>11</c:v>
                </c:pt>
              </c:numCache>
            </c:numRef>
          </c:val>
          <c:extLst>
            <c:ext xmlns:c16="http://schemas.microsoft.com/office/drawing/2014/chart" uri="{C3380CC4-5D6E-409C-BE32-E72D297353CC}">
              <c16:uniqueId val="{00000003-1998-4734-909A-CF4552E5649C}"/>
            </c:ext>
          </c:extLst>
        </c:ser>
        <c:ser>
          <c:idx val="2"/>
          <c:order val="2"/>
          <c:tx>
            <c:strRef>
              <c:f>sours!$K$49:$K$50</c:f>
              <c:strCache>
                <c:ptCount val="1"/>
                <c:pt idx="0">
                  <c:v>Supreme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sours!$K$51:$K$55</c:f>
              <c:numCache>
                <c:formatCode>General</c:formatCode>
                <c:ptCount val="4"/>
                <c:pt idx="0">
                  <c:v>40</c:v>
                </c:pt>
                <c:pt idx="1">
                  <c:v>44</c:v>
                </c:pt>
                <c:pt idx="2">
                  <c:v>38</c:v>
                </c:pt>
              </c:numCache>
            </c:numRef>
          </c:val>
          <c:extLst>
            <c:ext xmlns:c16="http://schemas.microsoft.com/office/drawing/2014/chart" uri="{C3380CC4-5D6E-409C-BE32-E72D297353CC}">
              <c16:uniqueId val="{00000004-1998-4734-909A-CF4552E5649C}"/>
            </c:ext>
          </c:extLst>
        </c:ser>
        <c:ser>
          <c:idx val="3"/>
          <c:order val="3"/>
          <c:tx>
            <c:strRef>
              <c:f>sours!$L$49:$L$50</c:f>
              <c:strCache>
                <c:ptCount val="1"/>
                <c:pt idx="0">
                  <c:v>Veggie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sours!$L$51:$L$55</c:f>
              <c:numCache>
                <c:formatCode>General</c:formatCode>
                <c:ptCount val="4"/>
                <c:pt idx="0">
                  <c:v>30</c:v>
                </c:pt>
                <c:pt idx="1">
                  <c:v>68</c:v>
                </c:pt>
                <c:pt idx="2">
                  <c:v>43</c:v>
                </c:pt>
              </c:numCache>
            </c:numRef>
          </c:val>
          <c:extLst>
            <c:ext xmlns:c16="http://schemas.microsoft.com/office/drawing/2014/chart" uri="{C3380CC4-5D6E-409C-BE32-E72D297353CC}">
              <c16:uniqueId val="{00000005-1998-4734-909A-CF4552E5649C}"/>
            </c:ext>
          </c:extLst>
        </c:ser>
        <c:dLbls>
          <c:showLegendKey val="0"/>
          <c:showVal val="1"/>
          <c:showCatName val="0"/>
          <c:showSerName val="0"/>
          <c:showPercent val="0"/>
          <c:showBubbleSize val="0"/>
        </c:dLbls>
        <c:gapWidth val="150"/>
        <c:shape val="box"/>
        <c:axId val="1069056208"/>
        <c:axId val="1069062928"/>
        <c:axId val="0"/>
      </c:bar3DChart>
      <c:catAx>
        <c:axId val="1069056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069062928"/>
        <c:crosses val="autoZero"/>
        <c:auto val="1"/>
        <c:lblAlgn val="ctr"/>
        <c:lblOffset val="100"/>
        <c:noMultiLvlLbl val="0"/>
      </c:catAx>
      <c:valAx>
        <c:axId val="10690629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06905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5 pizza</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all" baseline="0">
                <a:solidFill>
                  <a:sysClr val="window" lastClr="FFFFFF"/>
                </a:solidFill>
                <a:latin typeface="+mn-lt"/>
                <a:ea typeface="+mn-ea"/>
                <a:cs typeface="+mn-cs"/>
              </a:defRPr>
            </a:pPr>
            <a:r>
              <a:rPr lang="en-US" sz="1600" b="0" i="0" u="none" strike="noStrike" kern="1200" cap="all" baseline="0">
                <a:solidFill>
                  <a:schemeClr val="bg1"/>
                </a:solidFill>
              </a:rPr>
              <a:t>Top 5 pizza</a:t>
            </a: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 lastClr="FFFFFF"/>
                </a:solidFill>
              </a:defRPr>
            </a:pPr>
            <a:endParaRPr lang="en-US" sz="16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all" baseline="0">
              <a:solidFill>
                <a:sysClr val="window" lastClr="FFFFFF"/>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sours!$D$79</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Pt>
            <c:idx val="4"/>
            <c:invertIfNegative val="0"/>
            <c:bubble3D val="0"/>
            <c:extLst>
              <c:ext xmlns:c16="http://schemas.microsoft.com/office/drawing/2014/chart" uri="{C3380CC4-5D6E-409C-BE32-E72D297353CC}">
                <c16:uniqueId val="{00000000-F03F-4DD8-823D-38E51A174C05}"/>
              </c:ext>
            </c:extLst>
          </c:dPt>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sours!$C$80:$C$85</c:f>
              <c:strCache>
                <c:ptCount val="5"/>
                <c:pt idx="0">
                  <c:v>The Barbecue Chicken Pizza</c:v>
                </c:pt>
                <c:pt idx="1">
                  <c:v>The Thai Chicken Pizza</c:v>
                </c:pt>
                <c:pt idx="2">
                  <c:v>The Four Cheese Pizza</c:v>
                </c:pt>
                <c:pt idx="3">
                  <c:v>The Classic Deluxe Pizza</c:v>
                </c:pt>
                <c:pt idx="4">
                  <c:v>The Hawaiian Pizza</c:v>
                </c:pt>
              </c:strCache>
            </c:strRef>
          </c:cat>
          <c:val>
            <c:numRef>
              <c:f>sours!$D$80:$D$85</c:f>
              <c:numCache>
                <c:formatCode>#,##0.0</c:formatCode>
                <c:ptCount val="5"/>
                <c:pt idx="0">
                  <c:v>425.25</c:v>
                </c:pt>
                <c:pt idx="1">
                  <c:v>428.5</c:v>
                </c:pt>
                <c:pt idx="2">
                  <c:v>432.75</c:v>
                </c:pt>
                <c:pt idx="3">
                  <c:v>459</c:v>
                </c:pt>
                <c:pt idx="4">
                  <c:v>1311.5</c:v>
                </c:pt>
              </c:numCache>
            </c:numRef>
          </c:val>
          <c:extLst>
            <c:ext xmlns:c16="http://schemas.microsoft.com/office/drawing/2014/chart" uri="{C3380CC4-5D6E-409C-BE32-E72D297353CC}">
              <c16:uniqueId val="{00000005-1511-4F19-A67F-73E248CD7484}"/>
            </c:ext>
          </c:extLst>
        </c:ser>
        <c:dLbls>
          <c:showLegendKey val="0"/>
          <c:showVal val="1"/>
          <c:showCatName val="0"/>
          <c:showSerName val="0"/>
          <c:showPercent val="0"/>
          <c:showBubbleSize val="0"/>
        </c:dLbls>
        <c:gapWidth val="84"/>
        <c:gapDepth val="53"/>
        <c:shape val="box"/>
        <c:axId val="1003224640"/>
        <c:axId val="1003218400"/>
        <c:axId val="0"/>
      </c:bar3DChart>
      <c:catAx>
        <c:axId val="100322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003218400"/>
        <c:crosses val="autoZero"/>
        <c:auto val="1"/>
        <c:lblAlgn val="ctr"/>
        <c:lblOffset val="100"/>
        <c:noMultiLvlLbl val="0"/>
      </c:catAx>
      <c:valAx>
        <c:axId val="1003218400"/>
        <c:scaling>
          <c:orientation val="minMax"/>
        </c:scaling>
        <c:delete val="1"/>
        <c:axPos val="b"/>
        <c:numFmt formatCode="#,##0.0" sourceLinked="1"/>
        <c:majorTickMark val="out"/>
        <c:minorTickMark val="none"/>
        <c:tickLblPos val="nextTo"/>
        <c:crossAx val="100322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category in sales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a:t>category by sales</a:t>
            </a:r>
          </a:p>
        </c:rich>
      </c:tx>
      <c:layout>
        <c:manualLayout>
          <c:xMode val="edge"/>
          <c:yMode val="edge"/>
          <c:x val="1.2358632009793695E-3"/>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sours!$J$80</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sours!$I$81:$I$85</c:f>
              <c:strCache>
                <c:ptCount val="4"/>
                <c:pt idx="0">
                  <c:v>Classic</c:v>
                </c:pt>
                <c:pt idx="1">
                  <c:v>Veggie</c:v>
                </c:pt>
                <c:pt idx="2">
                  <c:v>Supreme</c:v>
                </c:pt>
                <c:pt idx="3">
                  <c:v>Chicken</c:v>
                </c:pt>
              </c:strCache>
            </c:strRef>
          </c:cat>
          <c:val>
            <c:numRef>
              <c:f>sours!$J$81:$J$85</c:f>
              <c:numCache>
                <c:formatCode>General</c:formatCode>
                <c:ptCount val="4"/>
                <c:pt idx="0">
                  <c:v>3324.75</c:v>
                </c:pt>
                <c:pt idx="1">
                  <c:v>2365.25</c:v>
                </c:pt>
                <c:pt idx="2">
                  <c:v>2052.0500000000002</c:v>
                </c:pt>
                <c:pt idx="3">
                  <c:v>1785.5</c:v>
                </c:pt>
              </c:numCache>
            </c:numRef>
          </c:val>
          <c:extLst>
            <c:ext xmlns:c16="http://schemas.microsoft.com/office/drawing/2014/chart" uri="{C3380CC4-5D6E-409C-BE32-E72D297353CC}">
              <c16:uniqueId val="{00000004-1835-4138-9D55-61BA12B6FC14}"/>
            </c:ext>
          </c:extLst>
        </c:ser>
        <c:dLbls>
          <c:showLegendKey val="0"/>
          <c:showVal val="1"/>
          <c:showCatName val="0"/>
          <c:showSerName val="0"/>
          <c:showPercent val="0"/>
          <c:showBubbleSize val="0"/>
        </c:dLbls>
        <c:gapWidth val="84"/>
        <c:gapDepth val="53"/>
        <c:shape val="box"/>
        <c:axId val="1069047568"/>
        <c:axId val="1069041808"/>
        <c:axId val="0"/>
      </c:bar3DChart>
      <c:catAx>
        <c:axId val="10690475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069041808"/>
        <c:crosses val="autoZero"/>
        <c:auto val="1"/>
        <c:lblAlgn val="ctr"/>
        <c:lblOffset val="100"/>
        <c:noMultiLvlLbl val="0"/>
      </c:catAx>
      <c:valAx>
        <c:axId val="1069041808"/>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0690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10 Customers By Quantity</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 10 Customers By Quantity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sours!$D$106</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sours!$C$107:$C$117</c:f>
              <c:strCache>
                <c:ptCount val="10"/>
                <c:pt idx="0">
                  <c:v>Amber Evans</c:v>
                </c:pt>
                <c:pt idx="1">
                  <c:v>Alexis Smith</c:v>
                </c:pt>
                <c:pt idx="2">
                  <c:v>Amanda Young</c:v>
                </c:pt>
                <c:pt idx="3">
                  <c:v>Ashley Parker</c:v>
                </c:pt>
                <c:pt idx="4">
                  <c:v>Amber Carter</c:v>
                </c:pt>
                <c:pt idx="5">
                  <c:v>Daniel Parker</c:v>
                </c:pt>
                <c:pt idx="6">
                  <c:v>Brandon Williams</c:v>
                </c:pt>
                <c:pt idx="7">
                  <c:v>Emily Young</c:v>
                </c:pt>
                <c:pt idx="8">
                  <c:v>Andrew Hernandez</c:v>
                </c:pt>
                <c:pt idx="9">
                  <c:v>Courtney Young</c:v>
                </c:pt>
              </c:strCache>
            </c:strRef>
          </c:cat>
          <c:val>
            <c:numRef>
              <c:f>sours!$D$107:$D$117</c:f>
              <c:numCache>
                <c:formatCode>General</c:formatCode>
                <c:ptCount val="10"/>
                <c:pt idx="0">
                  <c:v>2</c:v>
                </c:pt>
                <c:pt idx="1">
                  <c:v>2</c:v>
                </c:pt>
                <c:pt idx="2">
                  <c:v>2</c:v>
                </c:pt>
                <c:pt idx="3">
                  <c:v>2</c:v>
                </c:pt>
                <c:pt idx="4">
                  <c:v>2</c:v>
                </c:pt>
                <c:pt idx="5">
                  <c:v>3</c:v>
                </c:pt>
                <c:pt idx="6">
                  <c:v>3</c:v>
                </c:pt>
                <c:pt idx="7">
                  <c:v>4</c:v>
                </c:pt>
                <c:pt idx="8">
                  <c:v>52</c:v>
                </c:pt>
                <c:pt idx="9">
                  <c:v>101</c:v>
                </c:pt>
              </c:numCache>
            </c:numRef>
          </c:val>
          <c:extLst>
            <c:ext xmlns:c16="http://schemas.microsoft.com/office/drawing/2014/chart" uri="{C3380CC4-5D6E-409C-BE32-E72D297353CC}">
              <c16:uniqueId val="{00000004-C40F-4CEC-9202-EB313AC48D5C}"/>
            </c:ext>
          </c:extLst>
        </c:ser>
        <c:dLbls>
          <c:showLegendKey val="0"/>
          <c:showVal val="1"/>
          <c:showCatName val="0"/>
          <c:showSerName val="0"/>
          <c:showPercent val="0"/>
          <c:showBubbleSize val="0"/>
        </c:dLbls>
        <c:gapWidth val="84"/>
        <c:gapDepth val="53"/>
        <c:shape val="box"/>
        <c:axId val="1003223200"/>
        <c:axId val="1003201600"/>
        <c:axId val="0"/>
      </c:bar3DChart>
      <c:catAx>
        <c:axId val="100322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003201600"/>
        <c:crosses val="autoZero"/>
        <c:auto val="1"/>
        <c:lblAlgn val="ctr"/>
        <c:lblOffset val="100"/>
        <c:noMultiLvlLbl val="0"/>
      </c:catAx>
      <c:valAx>
        <c:axId val="1003201600"/>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100322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ar-EG"/>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By Size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Size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sours!$I$106</c:f>
              <c:strCache>
                <c:ptCount val="1"/>
                <c:pt idx="0">
                  <c:v>Total</c:v>
                </c:pt>
              </c:strCache>
            </c:strRef>
          </c:tx>
          <c:spPr>
            <a:ln>
              <a:noFill/>
            </a:ln>
          </c:spPr>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EA-4406-BAD3-874FD5257BA0}"/>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EA-4406-BAD3-874FD5257BA0}"/>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EA-4406-BAD3-874FD5257BA0}"/>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EA-4406-BAD3-874FD5257BA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sours!$H$107:$H$111</c:f>
              <c:strCache>
                <c:ptCount val="4"/>
                <c:pt idx="0">
                  <c:v>L</c:v>
                </c:pt>
                <c:pt idx="1">
                  <c:v>S</c:v>
                </c:pt>
                <c:pt idx="2">
                  <c:v>M</c:v>
                </c:pt>
                <c:pt idx="3">
                  <c:v>XL</c:v>
                </c:pt>
              </c:strCache>
            </c:strRef>
          </c:cat>
          <c:val>
            <c:numRef>
              <c:f>sours!$I$107:$I$111</c:f>
              <c:numCache>
                <c:formatCode>#,##0</c:formatCode>
                <c:ptCount val="4"/>
                <c:pt idx="0">
                  <c:v>4046</c:v>
                </c:pt>
                <c:pt idx="1">
                  <c:v>2938.8</c:v>
                </c:pt>
                <c:pt idx="2">
                  <c:v>2262.25</c:v>
                </c:pt>
                <c:pt idx="3">
                  <c:v>280.5</c:v>
                </c:pt>
              </c:numCache>
            </c:numRef>
          </c:val>
          <c:extLst>
            <c:ext xmlns:c16="http://schemas.microsoft.com/office/drawing/2014/chart" uri="{C3380CC4-5D6E-409C-BE32-E72D297353CC}">
              <c16:uniqueId val="{00000002-2C98-4A3B-A9FD-C9AFB238B5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[dashboard.xlsx]sours!Quantity By Size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sours!$M$106</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E6-432C-889E-8B15F115C595}"/>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E6-432C-889E-8B15F115C595}"/>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E6-432C-889E-8B15F115C595}"/>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E6-432C-889E-8B15F115C5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sours!$L$107:$L$111</c:f>
              <c:strCache>
                <c:ptCount val="4"/>
                <c:pt idx="0">
                  <c:v>S</c:v>
                </c:pt>
                <c:pt idx="1">
                  <c:v>L</c:v>
                </c:pt>
                <c:pt idx="2">
                  <c:v>M</c:v>
                </c:pt>
                <c:pt idx="3">
                  <c:v>XL</c:v>
                </c:pt>
              </c:strCache>
            </c:strRef>
          </c:cat>
          <c:val>
            <c:numRef>
              <c:f>sours!$M$107:$M$111</c:f>
              <c:numCache>
                <c:formatCode>General</c:formatCode>
                <c:ptCount val="4"/>
                <c:pt idx="0">
                  <c:v>256</c:v>
                </c:pt>
                <c:pt idx="1">
                  <c:v>252</c:v>
                </c:pt>
                <c:pt idx="2">
                  <c:v>142</c:v>
                </c:pt>
                <c:pt idx="3">
                  <c:v>11</c:v>
                </c:pt>
              </c:numCache>
            </c:numRef>
          </c:val>
          <c:extLst>
            <c:ext xmlns:c16="http://schemas.microsoft.com/office/drawing/2014/chart" uri="{C3380CC4-5D6E-409C-BE32-E72D297353CC}">
              <c16:uniqueId val="{00000005-A706-4272-82F2-8E71EF2593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By Size</c:name>
    <c:fmtId val="12"/>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Sales By Size</a:t>
            </a:r>
          </a:p>
        </c:rich>
      </c:tx>
      <c:layout>
        <c:manualLayout>
          <c:xMode val="edge"/>
          <c:yMode val="edge"/>
          <c:x val="0.24435229922665461"/>
          <c:y val="0"/>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093689495649406E-2"/>
              <c:y val="2.3229096698758615E-2"/>
            </c:manualLayout>
          </c:layout>
          <c:tx>
            <c:rich>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fld id="{007174CB-83B3-49D0-A24E-3E15BF7C4F75}" type="PERCENTAGE">
                  <a:rPr lang="en-US"/>
                  <a:pPr rtl="0">
                    <a:defRPr/>
                  </a:pPr>
                  <a:t>[PERCENTAGE]</a:t>
                </a:fld>
                <a:endParaRPr lang="ar-EG"/>
              </a:p>
            </c:rich>
          </c:tx>
          <c:spPr>
            <a:noFill/>
            <a:ln>
              <a:noFill/>
            </a:ln>
            <a:effectLst/>
          </c:spPr>
          <c:txPr>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204718798919859"/>
          <c:y val="0.18128804539820426"/>
          <c:w val="0.4866591319907691"/>
          <c:h val="0.80116192100675854"/>
        </c:manualLayout>
      </c:layout>
      <c:pieChart>
        <c:varyColors val="1"/>
        <c:ser>
          <c:idx val="0"/>
          <c:order val="0"/>
          <c:tx>
            <c:strRef>
              <c:f>sours!$I$106</c:f>
              <c:strCache>
                <c:ptCount val="1"/>
                <c:pt idx="0">
                  <c:v>Total</c:v>
                </c:pt>
              </c:strCache>
            </c:strRef>
          </c:tx>
          <c:spPr>
            <a:ln>
              <a:noFill/>
            </a:ln>
          </c:spPr>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FE-4AEB-904E-97C2B29F39B4}"/>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FE-4AEB-904E-97C2B29F39B4}"/>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FE-4AEB-904E-97C2B29F39B4}"/>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FE-4AEB-904E-97C2B29F39B4}"/>
              </c:ext>
            </c:extLst>
          </c:dPt>
          <c:dLbls>
            <c:dLbl>
              <c:idx val="3"/>
              <c:layout>
                <c:manualLayout>
                  <c:x val="1.2093689495649406E-2"/>
                  <c:y val="2.3229096698758615E-2"/>
                </c:manualLayout>
              </c:layout>
              <c:tx>
                <c:rich>
                  <a:bodyPr/>
                  <a:lstStyle/>
                  <a:p>
                    <a:fld id="{007174CB-83B3-49D0-A24E-3E15BF7C4F75}" type="PERCENTAGE">
                      <a:rPr lang="en-US"/>
                      <a:pPr/>
                      <a:t>[PERCENTAGE]</a:t>
                    </a:fld>
                    <a:endParaRPr lang="ar-EG"/>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DFE-4AEB-904E-97C2B29F39B4}"/>
                </c:ext>
              </c:extLst>
            </c:dLbl>
            <c:spPr>
              <a:noFill/>
              <a:ln>
                <a:noFill/>
              </a:ln>
              <a:effectLst/>
            </c:spPr>
            <c:txPr>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sours!$H$107:$H$111</c:f>
              <c:strCache>
                <c:ptCount val="4"/>
                <c:pt idx="0">
                  <c:v>L</c:v>
                </c:pt>
                <c:pt idx="1">
                  <c:v>S</c:v>
                </c:pt>
                <c:pt idx="2">
                  <c:v>M</c:v>
                </c:pt>
                <c:pt idx="3">
                  <c:v>XL</c:v>
                </c:pt>
              </c:strCache>
            </c:strRef>
          </c:cat>
          <c:val>
            <c:numRef>
              <c:f>sours!$I$107:$I$111</c:f>
              <c:numCache>
                <c:formatCode>#,##0</c:formatCode>
                <c:ptCount val="4"/>
                <c:pt idx="0">
                  <c:v>4046</c:v>
                </c:pt>
                <c:pt idx="1">
                  <c:v>2938.8</c:v>
                </c:pt>
                <c:pt idx="2">
                  <c:v>2262.25</c:v>
                </c:pt>
                <c:pt idx="3">
                  <c:v>280.5</c:v>
                </c:pt>
              </c:numCache>
            </c:numRef>
          </c:val>
          <c:extLst>
            <c:ext xmlns:c16="http://schemas.microsoft.com/office/drawing/2014/chart" uri="{C3380CC4-5D6E-409C-BE32-E72D297353CC}">
              <c16:uniqueId val="{00000009-2714-4CE5-A56B-34620E1130DB}"/>
            </c:ext>
          </c:extLst>
        </c:ser>
        <c:dLbls>
          <c:dLblPos val="inEnd"/>
          <c:showLegendKey val="0"/>
          <c:showVal val="1"/>
          <c:showCatName val="0"/>
          <c:showSerName val="0"/>
          <c:showPercent val="0"/>
          <c:showBubbleSize val="0"/>
          <c:showLeaderLines val="1"/>
        </c:dLbls>
        <c:firstSliceAng val="100"/>
      </c:pieChart>
      <c:spPr>
        <a:noFill/>
        <a:ln>
          <a:noFill/>
        </a:ln>
        <a:effectLst/>
      </c:spPr>
    </c:plotArea>
    <c:legend>
      <c:legendPos val="r"/>
      <c:layout>
        <c:manualLayout>
          <c:xMode val="edge"/>
          <c:yMode val="edge"/>
          <c:x val="0.88796628635986452"/>
          <c:y val="0.36541552391347998"/>
          <c:w val="0.10497022280412245"/>
          <c:h val="0.456047209824269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700" b="1"/>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[dashboard.xlsx]sours!Quantity By Size</c:name>
    <c:fmtId val="14"/>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Quantity By Size</a:t>
            </a:r>
          </a:p>
        </c:rich>
      </c:tx>
      <c:layout>
        <c:manualLayout>
          <c:xMode val="edge"/>
          <c:yMode val="edge"/>
          <c:x val="0.22932140076057597"/>
          <c:y val="0"/>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311336097226822"/>
          <c:y val="0.18161895714501219"/>
          <c:w val="0.47588268671515271"/>
          <c:h val="0.78914370239173082"/>
        </c:manualLayout>
      </c:layout>
      <c:pieChart>
        <c:varyColors val="1"/>
        <c:ser>
          <c:idx val="0"/>
          <c:order val="0"/>
          <c:tx>
            <c:strRef>
              <c:f>sours!$M$106</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4D-48A0-8E19-33C0A7B40849}"/>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4D-48A0-8E19-33C0A7B40849}"/>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4D-48A0-8E19-33C0A7B40849}"/>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4D-48A0-8E19-33C0A7B40849}"/>
              </c:ext>
            </c:extLst>
          </c:dPt>
          <c:dLbls>
            <c:spPr>
              <a:noFill/>
              <a:ln>
                <a:noFill/>
              </a:ln>
              <a:effectLst/>
            </c:spPr>
            <c:txPr>
              <a:bodyPr rot="0" spcFirstLastPara="1" vertOverflow="ellipsis" vert="horz" wrap="square" anchor="ctr" anchorCtr="1"/>
              <a:lstStyle/>
              <a:p>
                <a:pPr rtl="0">
                  <a:defRPr sz="700" b="1" i="0" u="none" strike="noStrike" kern="1200" baseline="0">
                    <a:solidFill>
                      <a:schemeClr val="lt1">
                        <a:lumMod val="85000"/>
                      </a:schemeClr>
                    </a:solidFill>
                    <a:latin typeface="+mn-lt"/>
                    <a:ea typeface="+mn-ea"/>
                    <a:cs typeface="+mn-cs"/>
                  </a:defRPr>
                </a:pPr>
                <a:endParaRPr lang="ar-EG"/>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sours!$L$107:$L$111</c:f>
              <c:strCache>
                <c:ptCount val="4"/>
                <c:pt idx="0">
                  <c:v>S</c:v>
                </c:pt>
                <c:pt idx="1">
                  <c:v>L</c:v>
                </c:pt>
                <c:pt idx="2">
                  <c:v>M</c:v>
                </c:pt>
                <c:pt idx="3">
                  <c:v>XL</c:v>
                </c:pt>
              </c:strCache>
            </c:strRef>
          </c:cat>
          <c:val>
            <c:numRef>
              <c:f>sours!$M$107:$M$111</c:f>
              <c:numCache>
                <c:formatCode>General</c:formatCode>
                <c:ptCount val="4"/>
                <c:pt idx="0">
                  <c:v>256</c:v>
                </c:pt>
                <c:pt idx="1">
                  <c:v>252</c:v>
                </c:pt>
                <c:pt idx="2">
                  <c:v>142</c:v>
                </c:pt>
                <c:pt idx="3">
                  <c:v>11</c:v>
                </c:pt>
              </c:numCache>
            </c:numRef>
          </c:val>
          <c:extLst>
            <c:ext xmlns:c16="http://schemas.microsoft.com/office/drawing/2014/chart" uri="{C3380CC4-5D6E-409C-BE32-E72D297353CC}">
              <c16:uniqueId val="{0000000D-8E8C-4151-890D-CA8A7E200949}"/>
            </c:ext>
          </c:extLst>
        </c:ser>
        <c:dLbls>
          <c:dLblPos val="bestFit"/>
          <c:showLegendKey val="0"/>
          <c:showVal val="1"/>
          <c:showCatName val="0"/>
          <c:showSerName val="0"/>
          <c:showPercent val="0"/>
          <c:showBubbleSize val="0"/>
          <c:showLeaderLines val="1"/>
        </c:dLbls>
        <c:firstSliceAng val="10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700" b="1"/>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10 customers</c:name>
    <c:fmtId val="10"/>
  </c:pivotSource>
  <c:chart>
    <c:title>
      <c:tx>
        <c:rich>
          <a:bodyPr rot="0" spcFirstLastPara="1" vertOverflow="ellipsis" vert="horz" wrap="square" anchor="ctr" anchorCtr="1"/>
          <a:lstStyle/>
          <a:p>
            <a:pPr>
              <a:defRPr sz="840" b="0" i="0" u="none" strike="noStrike" kern="1200" cap="all" baseline="0">
                <a:solidFill>
                  <a:schemeClr val="lt1"/>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84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sours!$D$13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sours!$C$14:$C$24</c:f>
              <c:strCache>
                <c:ptCount val="10"/>
                <c:pt idx="0">
                  <c:v>Stephanie Allen</c:v>
                </c:pt>
                <c:pt idx="1">
                  <c:v>Emily Parker</c:v>
                </c:pt>
                <c:pt idx="2">
                  <c:v>Dylan Nelson</c:v>
                </c:pt>
                <c:pt idx="3">
                  <c:v>Christopher Turner</c:v>
                </c:pt>
                <c:pt idx="4">
                  <c:v>Noah Scott</c:v>
                </c:pt>
                <c:pt idx="5">
                  <c:v>Emily Young</c:v>
                </c:pt>
                <c:pt idx="6">
                  <c:v>Brandon Williams</c:v>
                </c:pt>
                <c:pt idx="7">
                  <c:v>Daniel Parker</c:v>
                </c:pt>
                <c:pt idx="8">
                  <c:v>Andrew Hernandez</c:v>
                </c:pt>
                <c:pt idx="9">
                  <c:v>Courtney Young</c:v>
                </c:pt>
              </c:strCache>
            </c:strRef>
          </c:cat>
          <c:val>
            <c:numRef>
              <c:f>sours!$D$14:$D$24</c:f>
              <c:numCache>
                <c:formatCode>General</c:formatCode>
                <c:ptCount val="10"/>
                <c:pt idx="0">
                  <c:v>40.5</c:v>
                </c:pt>
                <c:pt idx="1">
                  <c:v>41</c:v>
                </c:pt>
                <c:pt idx="2">
                  <c:v>41.5</c:v>
                </c:pt>
                <c:pt idx="3">
                  <c:v>41.5</c:v>
                </c:pt>
                <c:pt idx="4">
                  <c:v>45.75</c:v>
                </c:pt>
                <c:pt idx="5">
                  <c:v>48</c:v>
                </c:pt>
                <c:pt idx="6">
                  <c:v>48</c:v>
                </c:pt>
                <c:pt idx="7">
                  <c:v>53</c:v>
                </c:pt>
                <c:pt idx="8">
                  <c:v>83</c:v>
                </c:pt>
                <c:pt idx="9">
                  <c:v>1060.5</c:v>
                </c:pt>
              </c:numCache>
            </c:numRef>
          </c:val>
          <c:extLst>
            <c:ext xmlns:c16="http://schemas.microsoft.com/office/drawing/2014/chart" uri="{C3380CC4-5D6E-409C-BE32-E72D297353CC}">
              <c16:uniqueId val="{00000004-C117-4823-9E02-BA2E960F8BC0}"/>
            </c:ext>
          </c:extLst>
        </c:ser>
        <c:dLbls>
          <c:showLegendKey val="0"/>
          <c:showVal val="1"/>
          <c:showCatName val="0"/>
          <c:showSerName val="0"/>
          <c:showPercent val="0"/>
          <c:showBubbleSize val="0"/>
        </c:dLbls>
        <c:gapWidth val="84"/>
        <c:gapDepth val="53"/>
        <c:shape val="box"/>
        <c:axId val="293400112"/>
        <c:axId val="293400592"/>
        <c:axId val="0"/>
      </c:bar3DChart>
      <c:catAx>
        <c:axId val="293400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293400592"/>
        <c:crosses val="autoZero"/>
        <c:auto val="1"/>
        <c:lblAlgn val="ctr"/>
        <c:lblOffset val="100"/>
        <c:noMultiLvlLbl val="0"/>
      </c:catAx>
      <c:valAx>
        <c:axId val="293400592"/>
        <c:scaling>
          <c:orientation val="minMax"/>
        </c:scaling>
        <c:delete val="0"/>
        <c:axPos val="b"/>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2934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noFill/>
      <a:round/>
    </a:ln>
    <a:effectLst/>
  </c:spPr>
  <c:txPr>
    <a:bodyPr/>
    <a:lstStyle/>
    <a:p>
      <a:pPr>
        <a:defRPr sz="7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10 Customers By Quantity</c:name>
    <c:fmtId val="7"/>
  </c:pivotSource>
  <c:chart>
    <c:title>
      <c:tx>
        <c:rich>
          <a:bodyPr rot="0" spcFirstLastPara="1" vertOverflow="ellipsis" vert="horz" wrap="square" anchor="ctr" anchorCtr="1"/>
          <a:lstStyle/>
          <a:p>
            <a:pPr>
              <a:defRPr sz="840" b="0" i="0" u="none" strike="noStrike" kern="1200" cap="all" baseline="0">
                <a:solidFill>
                  <a:schemeClr val="lt1"/>
                </a:solidFill>
                <a:latin typeface="+mn-lt"/>
                <a:ea typeface="+mn-ea"/>
                <a:cs typeface="+mn-cs"/>
              </a:defRPr>
            </a:pPr>
            <a:r>
              <a:rPr lang="en-US"/>
              <a:t>Top 10 Customers By Quantity</a:t>
            </a:r>
          </a:p>
        </c:rich>
      </c:tx>
      <c:overlay val="0"/>
      <c:spPr>
        <a:noFill/>
        <a:ln>
          <a:noFill/>
        </a:ln>
        <a:effectLst/>
      </c:spPr>
      <c:txPr>
        <a:bodyPr rot="0" spcFirstLastPara="1" vertOverflow="ellipsis" vert="horz" wrap="square" anchor="ctr" anchorCtr="1"/>
        <a:lstStyle/>
        <a:p>
          <a:pPr>
            <a:defRPr sz="84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sours!$D$106</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sours!$C$107:$C$117</c:f>
              <c:strCache>
                <c:ptCount val="10"/>
                <c:pt idx="0">
                  <c:v>Amber Evans</c:v>
                </c:pt>
                <c:pt idx="1">
                  <c:v>Alexis Smith</c:v>
                </c:pt>
                <c:pt idx="2">
                  <c:v>Amanda Young</c:v>
                </c:pt>
                <c:pt idx="3">
                  <c:v>Ashley Parker</c:v>
                </c:pt>
                <c:pt idx="4">
                  <c:v>Amber Carter</c:v>
                </c:pt>
                <c:pt idx="5">
                  <c:v>Daniel Parker</c:v>
                </c:pt>
                <c:pt idx="6">
                  <c:v>Brandon Williams</c:v>
                </c:pt>
                <c:pt idx="7">
                  <c:v>Emily Young</c:v>
                </c:pt>
                <c:pt idx="8">
                  <c:v>Andrew Hernandez</c:v>
                </c:pt>
                <c:pt idx="9">
                  <c:v>Courtney Young</c:v>
                </c:pt>
              </c:strCache>
            </c:strRef>
          </c:cat>
          <c:val>
            <c:numRef>
              <c:f>sours!$D$107:$D$117</c:f>
              <c:numCache>
                <c:formatCode>General</c:formatCode>
                <c:ptCount val="10"/>
                <c:pt idx="0">
                  <c:v>2</c:v>
                </c:pt>
                <c:pt idx="1">
                  <c:v>2</c:v>
                </c:pt>
                <c:pt idx="2">
                  <c:v>2</c:v>
                </c:pt>
                <c:pt idx="3">
                  <c:v>2</c:v>
                </c:pt>
                <c:pt idx="4">
                  <c:v>2</c:v>
                </c:pt>
                <c:pt idx="5">
                  <c:v>3</c:v>
                </c:pt>
                <c:pt idx="6">
                  <c:v>3</c:v>
                </c:pt>
                <c:pt idx="7">
                  <c:v>4</c:v>
                </c:pt>
                <c:pt idx="8">
                  <c:v>52</c:v>
                </c:pt>
                <c:pt idx="9">
                  <c:v>101</c:v>
                </c:pt>
              </c:numCache>
            </c:numRef>
          </c:val>
          <c:extLst>
            <c:ext xmlns:c16="http://schemas.microsoft.com/office/drawing/2014/chart" uri="{C3380CC4-5D6E-409C-BE32-E72D297353CC}">
              <c16:uniqueId val="{00000004-B6AE-4E15-A667-4886F6A61D16}"/>
            </c:ext>
          </c:extLst>
        </c:ser>
        <c:dLbls>
          <c:showLegendKey val="0"/>
          <c:showVal val="1"/>
          <c:showCatName val="0"/>
          <c:showSerName val="0"/>
          <c:showPercent val="0"/>
          <c:showBubbleSize val="0"/>
        </c:dLbls>
        <c:gapWidth val="84"/>
        <c:gapDepth val="53"/>
        <c:shape val="box"/>
        <c:axId val="1003223200"/>
        <c:axId val="1003201600"/>
        <c:axId val="0"/>
      </c:bar3DChart>
      <c:catAx>
        <c:axId val="100322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1003201600"/>
        <c:crosses val="autoZero"/>
        <c:auto val="1"/>
        <c:lblAlgn val="ctr"/>
        <c:lblOffset val="100"/>
        <c:noMultiLvlLbl val="0"/>
      </c:catAx>
      <c:valAx>
        <c:axId val="1003201600"/>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100322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noFill/>
      <a:round/>
    </a:ln>
    <a:effectLst/>
  </c:spPr>
  <c:txPr>
    <a:bodyPr/>
    <a:lstStyle/>
    <a:p>
      <a:pPr>
        <a:defRPr sz="700"/>
      </a:pPr>
      <a:endParaRPr lang="ar-EG"/>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in mounth</c:name>
    <c:fmtId val="8"/>
  </c:pivotSource>
  <c:chart>
    <c:title>
      <c:tx>
        <c:rich>
          <a:bodyPr rot="0" spcFirstLastPara="1" vertOverflow="ellipsis" vert="horz" wrap="square" anchor="ctr" anchorCtr="1"/>
          <a:lstStyle/>
          <a:p>
            <a:pPr>
              <a:defRPr sz="1000" b="1" i="0" u="none" strike="noStrike" kern="1200" cap="none" baseline="0">
                <a:solidFill>
                  <a:schemeClr val="lt1">
                    <a:lumMod val="85000"/>
                  </a:schemeClr>
                </a:solidFill>
                <a:latin typeface="+mn-lt"/>
                <a:ea typeface="+mn-ea"/>
                <a:cs typeface="+mn-cs"/>
              </a:defRPr>
            </a:pPr>
            <a:r>
              <a:rPr lang="en-US" sz="1000"/>
              <a:t>Sales By Months </a:t>
            </a:r>
          </a:p>
        </c:rich>
      </c:tx>
      <c:overlay val="0"/>
      <c:spPr>
        <a:noFill/>
        <a:ln>
          <a:noFill/>
        </a:ln>
        <a:effectLst/>
      </c:spPr>
      <c:txPr>
        <a:bodyPr rot="0" spcFirstLastPara="1" vertOverflow="ellipsis" vert="horz" wrap="square" anchor="ctr" anchorCtr="1"/>
        <a:lstStyle/>
        <a:p>
          <a:pPr>
            <a:defRPr sz="10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5400000" spcFirstLastPara="1" vertOverflow="ellipsis" wrap="square" anchor="ctr" anchorCtr="1"/>
            <a:lstStyle/>
            <a:p>
              <a:pPr>
                <a:defRPr sz="7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sours!$I$13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5400000" spcFirstLastPara="1" vertOverflow="ellipsis" wrap="square" anchor="ctr" anchorCtr="1"/>
              <a:lstStyle/>
              <a:p>
                <a:pPr>
                  <a:defRPr sz="7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sours!$H$14:$H$26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sours!$I$14:$I$26</c:f>
              <c:numCache>
                <c:formatCode>General</c:formatCode>
                <c:ptCount val="12"/>
                <c:pt idx="0">
                  <c:v>578.4</c:v>
                </c:pt>
                <c:pt idx="1">
                  <c:v>527.70000000000005</c:v>
                </c:pt>
                <c:pt idx="2">
                  <c:v>519.65</c:v>
                </c:pt>
                <c:pt idx="3">
                  <c:v>630.70000000000005</c:v>
                </c:pt>
                <c:pt idx="4">
                  <c:v>832.35</c:v>
                </c:pt>
                <c:pt idx="5">
                  <c:v>859.15</c:v>
                </c:pt>
                <c:pt idx="6">
                  <c:v>779.95</c:v>
                </c:pt>
                <c:pt idx="7">
                  <c:v>858.25</c:v>
                </c:pt>
                <c:pt idx="8">
                  <c:v>802.65</c:v>
                </c:pt>
                <c:pt idx="9">
                  <c:v>713.5</c:v>
                </c:pt>
                <c:pt idx="10">
                  <c:v>638.6</c:v>
                </c:pt>
                <c:pt idx="11">
                  <c:v>1786.65</c:v>
                </c:pt>
              </c:numCache>
            </c:numRef>
          </c:val>
          <c:smooth val="0"/>
          <c:extLst>
            <c:ext xmlns:c16="http://schemas.microsoft.com/office/drawing/2014/chart" uri="{C3380CC4-5D6E-409C-BE32-E72D297353CC}">
              <c16:uniqueId val="{00000005-DEBF-4EF2-8E10-66413C082810}"/>
            </c:ext>
          </c:extLst>
        </c:ser>
        <c:dLbls>
          <c:dLblPos val="t"/>
          <c:showLegendKey val="0"/>
          <c:showVal val="1"/>
          <c:showCatName val="0"/>
          <c:showSerName val="0"/>
          <c:showPercent val="0"/>
          <c:showBubbleSize val="0"/>
        </c:dLbls>
        <c:marker val="1"/>
        <c:smooth val="0"/>
        <c:axId val="293403472"/>
        <c:axId val="293398672"/>
      </c:lineChart>
      <c:catAx>
        <c:axId val="29340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rtl="1">
              <a:defRPr sz="700" b="0" i="0" u="none" strike="noStrike" kern="1200" baseline="0">
                <a:solidFill>
                  <a:schemeClr val="lt1">
                    <a:lumMod val="75000"/>
                  </a:schemeClr>
                </a:solidFill>
                <a:latin typeface="+mn-lt"/>
                <a:ea typeface="+mn-ea"/>
                <a:cs typeface="+mn-cs"/>
              </a:defRPr>
            </a:pPr>
            <a:endParaRPr lang="ar-EG"/>
          </a:p>
        </c:txPr>
        <c:crossAx val="293398672"/>
        <c:crosses val="autoZero"/>
        <c:auto val="1"/>
        <c:lblAlgn val="ctr"/>
        <c:lblOffset val="100"/>
        <c:noMultiLvlLbl val="0"/>
      </c:catAx>
      <c:valAx>
        <c:axId val="2933986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29340347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sz="7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[dashboard.xlsx]sours!sales by time</c:name>
    <c:fmtId val="9"/>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Sales By Time</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sours!$D$44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sours!$C$45:$C$58</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sours!$D$45:$D$58</c:f>
              <c:numCache>
                <c:formatCode>General</c:formatCode>
                <c:ptCount val="13"/>
                <c:pt idx="0">
                  <c:v>445.6</c:v>
                </c:pt>
                <c:pt idx="1">
                  <c:v>920.1</c:v>
                </c:pt>
                <c:pt idx="2">
                  <c:v>991.45</c:v>
                </c:pt>
                <c:pt idx="3">
                  <c:v>679.6</c:v>
                </c:pt>
                <c:pt idx="4">
                  <c:v>557.45000000000005</c:v>
                </c:pt>
                <c:pt idx="5">
                  <c:v>662</c:v>
                </c:pt>
                <c:pt idx="6">
                  <c:v>1197.45</c:v>
                </c:pt>
                <c:pt idx="7">
                  <c:v>1959.3</c:v>
                </c:pt>
                <c:pt idx="8">
                  <c:v>954.3</c:v>
                </c:pt>
                <c:pt idx="9">
                  <c:v>439.6</c:v>
                </c:pt>
                <c:pt idx="10">
                  <c:v>478.7</c:v>
                </c:pt>
                <c:pt idx="11">
                  <c:v>204.5</c:v>
                </c:pt>
                <c:pt idx="12">
                  <c:v>37.5</c:v>
                </c:pt>
              </c:numCache>
            </c:numRef>
          </c:val>
          <c:extLst>
            <c:ext xmlns:c16="http://schemas.microsoft.com/office/drawing/2014/chart" uri="{C3380CC4-5D6E-409C-BE32-E72D297353CC}">
              <c16:uniqueId val="{00000004-3441-42DF-AE97-97F492005F26}"/>
            </c:ext>
          </c:extLst>
        </c:ser>
        <c:dLbls>
          <c:showLegendKey val="0"/>
          <c:showVal val="0"/>
          <c:showCatName val="0"/>
          <c:showSerName val="0"/>
          <c:showPercent val="0"/>
          <c:showBubbleSize val="0"/>
        </c:dLbls>
        <c:axId val="293399152"/>
        <c:axId val="293402512"/>
      </c:areaChart>
      <c:catAx>
        <c:axId val="2933991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crossAx val="293402512"/>
        <c:crosses val="autoZero"/>
        <c:auto val="1"/>
        <c:lblAlgn val="ctr"/>
        <c:lblOffset val="100"/>
        <c:noMultiLvlLbl val="0"/>
      </c:catAx>
      <c:valAx>
        <c:axId val="293402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crossAx val="293399152"/>
        <c:crosses val="autoZero"/>
        <c:crossBetween val="midCat"/>
      </c:valAx>
      <c:dTable>
        <c:showHorzBorder val="1"/>
        <c:showVertBorder val="1"/>
        <c:showOutline val="0"/>
        <c:showKeys val="0"/>
        <c:spPr>
          <a:noFill/>
          <a:ln w="9525">
            <a:solidFill>
              <a:schemeClr val="lt1">
                <a:lumMod val="95000"/>
                <a:alpha val="54000"/>
              </a:schemeClr>
            </a:solidFill>
          </a:ln>
          <a:effectLst/>
        </c:spPr>
        <c:txPr>
          <a:bodyPr rot="0" spcFirstLastPara="1" vertOverflow="ellipsis" vert="horz" wrap="square" anchor="ctr" anchorCtr="1"/>
          <a:lstStyle/>
          <a:p>
            <a:pPr rtl="0">
              <a:defRPr sz="700" b="0" i="0" u="none" strike="noStrike" kern="1200" baseline="0">
                <a:solidFill>
                  <a:schemeClr val="lt1">
                    <a:lumMod val="85000"/>
                  </a:schemeClr>
                </a:solidFill>
                <a:latin typeface="+mn-lt"/>
                <a:ea typeface="+mn-ea"/>
                <a:cs typeface="+mn-cs"/>
              </a:defRPr>
            </a:pPr>
            <a:endParaRPr lang="ar-EG"/>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7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[dashboard.xlsx]sours!Quantities By Category &amp; Size</c:name>
    <c:fmtId val="6"/>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Quantities By Category &amp; Size</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sours!$I$49:$I$50</c:f>
              <c:strCache>
                <c:ptCount val="1"/>
                <c:pt idx="0">
                  <c:v>Chicken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sours!$I$51:$I$55</c:f>
              <c:numCache>
                <c:formatCode>General</c:formatCode>
                <c:ptCount val="4"/>
                <c:pt idx="0">
                  <c:v>19</c:v>
                </c:pt>
                <c:pt idx="1">
                  <c:v>103</c:v>
                </c:pt>
                <c:pt idx="2">
                  <c:v>24</c:v>
                </c:pt>
              </c:numCache>
            </c:numRef>
          </c:val>
          <c:extLst>
            <c:ext xmlns:c16="http://schemas.microsoft.com/office/drawing/2014/chart" uri="{C3380CC4-5D6E-409C-BE32-E72D297353CC}">
              <c16:uniqueId val="{00000015-A6FF-44DF-82AD-4EB925DF5BDD}"/>
            </c:ext>
          </c:extLst>
        </c:ser>
        <c:ser>
          <c:idx val="1"/>
          <c:order val="1"/>
          <c:tx>
            <c:strRef>
              <c:f>sours!$J$49:$J$50</c:f>
              <c:strCache>
                <c:ptCount val="1"/>
                <c:pt idx="0">
                  <c:v>Classic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sours!$J$51:$J$55</c:f>
              <c:numCache>
                <c:formatCode>General</c:formatCode>
                <c:ptCount val="4"/>
                <c:pt idx="0">
                  <c:v>167</c:v>
                </c:pt>
                <c:pt idx="1">
                  <c:v>37</c:v>
                </c:pt>
                <c:pt idx="2">
                  <c:v>37</c:v>
                </c:pt>
                <c:pt idx="3">
                  <c:v>11</c:v>
                </c:pt>
              </c:numCache>
            </c:numRef>
          </c:val>
          <c:extLst>
            <c:ext xmlns:c16="http://schemas.microsoft.com/office/drawing/2014/chart" uri="{C3380CC4-5D6E-409C-BE32-E72D297353CC}">
              <c16:uniqueId val="{00000004-118D-4467-BAF2-1BE1B1580C57}"/>
            </c:ext>
          </c:extLst>
        </c:ser>
        <c:ser>
          <c:idx val="2"/>
          <c:order val="2"/>
          <c:tx>
            <c:strRef>
              <c:f>sours!$K$49:$K$50</c:f>
              <c:strCache>
                <c:ptCount val="1"/>
                <c:pt idx="0">
                  <c:v>Supreme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sours!$K$51:$K$55</c:f>
              <c:numCache>
                <c:formatCode>General</c:formatCode>
                <c:ptCount val="4"/>
                <c:pt idx="0">
                  <c:v>40</c:v>
                </c:pt>
                <c:pt idx="1">
                  <c:v>44</c:v>
                </c:pt>
                <c:pt idx="2">
                  <c:v>38</c:v>
                </c:pt>
              </c:numCache>
            </c:numRef>
          </c:val>
          <c:extLst>
            <c:ext xmlns:c16="http://schemas.microsoft.com/office/drawing/2014/chart" uri="{C3380CC4-5D6E-409C-BE32-E72D297353CC}">
              <c16:uniqueId val="{00000005-118D-4467-BAF2-1BE1B1580C57}"/>
            </c:ext>
          </c:extLst>
        </c:ser>
        <c:ser>
          <c:idx val="3"/>
          <c:order val="3"/>
          <c:tx>
            <c:strRef>
              <c:f>sours!$L$49:$L$50</c:f>
              <c:strCache>
                <c:ptCount val="1"/>
                <c:pt idx="0">
                  <c:v>Veggie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sours!$H$51:$H$55</c:f>
              <c:strCache>
                <c:ptCount val="4"/>
                <c:pt idx="0">
                  <c:v>S</c:v>
                </c:pt>
                <c:pt idx="1">
                  <c:v>L</c:v>
                </c:pt>
                <c:pt idx="2">
                  <c:v>M</c:v>
                </c:pt>
                <c:pt idx="3">
                  <c:v>XL</c:v>
                </c:pt>
              </c:strCache>
            </c:strRef>
          </c:cat>
          <c:val>
            <c:numRef>
              <c:f>sours!$L$51:$L$55</c:f>
              <c:numCache>
                <c:formatCode>General</c:formatCode>
                <c:ptCount val="4"/>
                <c:pt idx="0">
                  <c:v>30</c:v>
                </c:pt>
                <c:pt idx="1">
                  <c:v>68</c:v>
                </c:pt>
                <c:pt idx="2">
                  <c:v>43</c:v>
                </c:pt>
              </c:numCache>
            </c:numRef>
          </c:val>
          <c:extLst>
            <c:ext xmlns:c16="http://schemas.microsoft.com/office/drawing/2014/chart" uri="{C3380CC4-5D6E-409C-BE32-E72D297353CC}">
              <c16:uniqueId val="{00000006-118D-4467-BAF2-1BE1B1580C57}"/>
            </c:ext>
          </c:extLst>
        </c:ser>
        <c:dLbls>
          <c:showLegendKey val="0"/>
          <c:showVal val="1"/>
          <c:showCatName val="0"/>
          <c:showSerName val="0"/>
          <c:showPercent val="0"/>
          <c:showBubbleSize val="0"/>
        </c:dLbls>
        <c:gapWidth val="150"/>
        <c:shape val="box"/>
        <c:axId val="1069056208"/>
        <c:axId val="1069062928"/>
        <c:axId val="0"/>
      </c:bar3DChart>
      <c:catAx>
        <c:axId val="1069056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crossAx val="1069062928"/>
        <c:crosses val="autoZero"/>
        <c:auto val="1"/>
        <c:lblAlgn val="ctr"/>
        <c:lblOffset val="100"/>
        <c:noMultiLvlLbl val="0"/>
      </c:catAx>
      <c:valAx>
        <c:axId val="10690629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crossAx val="106905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7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category in sales</c:name>
    <c:fmtId val="9"/>
  </c:pivotSource>
  <c:chart>
    <c:title>
      <c:tx>
        <c:rich>
          <a:bodyPr rot="0" spcFirstLastPara="1" vertOverflow="ellipsis" vert="horz" wrap="square" anchor="ctr" anchorCtr="1"/>
          <a:lstStyle/>
          <a:p>
            <a:pPr algn="ctr" rtl="0">
              <a:defRPr sz="1000" b="0" i="0" u="none" strike="noStrike" kern="1200" cap="all" baseline="0">
                <a:solidFill>
                  <a:schemeClr val="lt1"/>
                </a:solidFill>
                <a:latin typeface="+mn-lt"/>
                <a:ea typeface="+mn-ea"/>
                <a:cs typeface="+mn-cs"/>
              </a:defRPr>
            </a:pPr>
            <a:r>
              <a:rPr lang="en-US" sz="1000"/>
              <a:t>category by sales</a:t>
            </a:r>
          </a:p>
        </c:rich>
      </c:tx>
      <c:overlay val="0"/>
      <c:spPr>
        <a:noFill/>
        <a:ln>
          <a:noFill/>
        </a:ln>
        <a:effectLst/>
      </c:spPr>
      <c:txPr>
        <a:bodyPr rot="0" spcFirstLastPara="1" vertOverflow="ellipsis" vert="horz" wrap="square" anchor="ctr" anchorCtr="1"/>
        <a:lstStyle/>
        <a:p>
          <a:pPr algn="ctr" rtl="0">
            <a:defRPr sz="100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sours!$J$80</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sours!$I$81:$I$85</c:f>
              <c:strCache>
                <c:ptCount val="4"/>
                <c:pt idx="0">
                  <c:v>Classic</c:v>
                </c:pt>
                <c:pt idx="1">
                  <c:v>Veggie</c:v>
                </c:pt>
                <c:pt idx="2">
                  <c:v>Supreme</c:v>
                </c:pt>
                <c:pt idx="3">
                  <c:v>Chicken</c:v>
                </c:pt>
              </c:strCache>
            </c:strRef>
          </c:cat>
          <c:val>
            <c:numRef>
              <c:f>sours!$J$81:$J$85</c:f>
              <c:numCache>
                <c:formatCode>General</c:formatCode>
                <c:ptCount val="4"/>
                <c:pt idx="0">
                  <c:v>3324.75</c:v>
                </c:pt>
                <c:pt idx="1">
                  <c:v>2365.25</c:v>
                </c:pt>
                <c:pt idx="2">
                  <c:v>2052.0500000000002</c:v>
                </c:pt>
                <c:pt idx="3">
                  <c:v>1785.5</c:v>
                </c:pt>
              </c:numCache>
            </c:numRef>
          </c:val>
          <c:extLst>
            <c:ext xmlns:c16="http://schemas.microsoft.com/office/drawing/2014/chart" uri="{C3380CC4-5D6E-409C-BE32-E72D297353CC}">
              <c16:uniqueId val="{00000004-E696-42C3-8A75-5BAAF9804980}"/>
            </c:ext>
          </c:extLst>
        </c:ser>
        <c:dLbls>
          <c:showLegendKey val="0"/>
          <c:showVal val="1"/>
          <c:showCatName val="0"/>
          <c:showSerName val="0"/>
          <c:showPercent val="0"/>
          <c:showBubbleSize val="0"/>
        </c:dLbls>
        <c:gapWidth val="84"/>
        <c:gapDepth val="53"/>
        <c:shape val="box"/>
        <c:axId val="1069047568"/>
        <c:axId val="1069041808"/>
        <c:axId val="0"/>
      </c:bar3DChart>
      <c:catAx>
        <c:axId val="10690475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1069041808"/>
        <c:crosses val="autoZero"/>
        <c:auto val="1"/>
        <c:lblAlgn val="ctr"/>
        <c:lblOffset val="100"/>
        <c:noMultiLvlLbl val="0"/>
      </c:catAx>
      <c:valAx>
        <c:axId val="1069041808"/>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10690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noFill/>
      <a:round/>
    </a:ln>
    <a:effectLst/>
  </c:spPr>
  <c:txPr>
    <a:bodyPr/>
    <a:lstStyle/>
    <a:p>
      <a:pPr>
        <a:defRPr sz="7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[dashboard.xlsx]sours!Top 5 pizza</c:name>
    <c:fmtId val="11"/>
  </c:pivotSource>
  <c:chart>
    <c:title>
      <c:tx>
        <c:rich>
          <a:bodyPr rot="0" spcFirstLastPara="1" vertOverflow="ellipsis" vert="horz" wrap="square" anchor="ctr" anchorCtr="1"/>
          <a:lstStyle/>
          <a:p>
            <a:pPr algn="ctr" rtl="0">
              <a:defRPr sz="1050" b="0" i="0" u="none" strike="noStrike" kern="1200" cap="all" baseline="0">
                <a:solidFill>
                  <a:schemeClr val="lt1"/>
                </a:solidFill>
                <a:latin typeface="+mn-lt"/>
                <a:ea typeface="+mn-ea"/>
                <a:cs typeface="+mn-cs"/>
              </a:defRPr>
            </a:pPr>
            <a:r>
              <a:rPr lang="en-US" sz="1050"/>
              <a:t>Top 5 pizza by sales</a:t>
            </a:r>
          </a:p>
          <a:p>
            <a:pPr algn="ctr" rtl="0">
              <a:defRPr sz="1050"/>
            </a:pPr>
            <a:endParaRPr lang="en-US" sz="1050"/>
          </a:p>
        </c:rich>
      </c:tx>
      <c:overlay val="0"/>
      <c:spPr>
        <a:noFill/>
        <a:ln>
          <a:noFill/>
        </a:ln>
        <a:effectLst/>
      </c:spPr>
      <c:txPr>
        <a:bodyPr rot="0" spcFirstLastPara="1" vertOverflow="ellipsis" vert="horz" wrap="square" anchor="ctr" anchorCtr="1"/>
        <a:lstStyle/>
        <a:p>
          <a:pPr algn="ctr" rtl="0">
            <a:defRPr sz="105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420627403601142"/>
          <c:y val="0.21240872454344797"/>
          <c:w val="0.54211506956925981"/>
          <c:h val="0.76293272837697845"/>
        </c:manualLayout>
      </c:layout>
      <c:bar3DChart>
        <c:barDir val="bar"/>
        <c:grouping val="clustered"/>
        <c:varyColors val="0"/>
        <c:ser>
          <c:idx val="0"/>
          <c:order val="0"/>
          <c:tx>
            <c:strRef>
              <c:f>sours!$D$79</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sours!$C$80:$C$85</c:f>
              <c:strCache>
                <c:ptCount val="5"/>
                <c:pt idx="0">
                  <c:v>The Barbecue Chicken Pizza</c:v>
                </c:pt>
                <c:pt idx="1">
                  <c:v>The Thai Chicken Pizza</c:v>
                </c:pt>
                <c:pt idx="2">
                  <c:v>The Four Cheese Pizza</c:v>
                </c:pt>
                <c:pt idx="3">
                  <c:v>The Classic Deluxe Pizza</c:v>
                </c:pt>
                <c:pt idx="4">
                  <c:v>The Hawaiian Pizza</c:v>
                </c:pt>
              </c:strCache>
            </c:strRef>
          </c:cat>
          <c:val>
            <c:numRef>
              <c:f>sours!$D$80:$D$85</c:f>
              <c:numCache>
                <c:formatCode>#,##0.0</c:formatCode>
                <c:ptCount val="5"/>
                <c:pt idx="0">
                  <c:v>425.25</c:v>
                </c:pt>
                <c:pt idx="1">
                  <c:v>428.5</c:v>
                </c:pt>
                <c:pt idx="2">
                  <c:v>432.75</c:v>
                </c:pt>
                <c:pt idx="3">
                  <c:v>459</c:v>
                </c:pt>
                <c:pt idx="4">
                  <c:v>1311.5</c:v>
                </c:pt>
              </c:numCache>
            </c:numRef>
          </c:val>
          <c:extLst>
            <c:ext xmlns:c16="http://schemas.microsoft.com/office/drawing/2014/chart" uri="{C3380CC4-5D6E-409C-BE32-E72D297353CC}">
              <c16:uniqueId val="{00000004-D05C-45BC-BB55-74613FAEF802}"/>
            </c:ext>
          </c:extLst>
        </c:ser>
        <c:dLbls>
          <c:showLegendKey val="0"/>
          <c:showVal val="1"/>
          <c:showCatName val="0"/>
          <c:showSerName val="0"/>
          <c:showPercent val="0"/>
          <c:showBubbleSize val="0"/>
        </c:dLbls>
        <c:gapWidth val="84"/>
        <c:gapDepth val="53"/>
        <c:shape val="box"/>
        <c:axId val="1003224640"/>
        <c:axId val="1003218400"/>
        <c:axId val="0"/>
      </c:bar3DChart>
      <c:catAx>
        <c:axId val="100322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mn-lt"/>
                <a:ea typeface="+mn-ea"/>
                <a:cs typeface="+mn-cs"/>
              </a:defRPr>
            </a:pPr>
            <a:endParaRPr lang="ar-EG"/>
          </a:p>
        </c:txPr>
        <c:crossAx val="1003218400"/>
        <c:crosses val="autoZero"/>
        <c:auto val="1"/>
        <c:lblAlgn val="ctr"/>
        <c:lblOffset val="100"/>
        <c:noMultiLvlLbl val="0"/>
      </c:catAx>
      <c:valAx>
        <c:axId val="1003218400"/>
        <c:scaling>
          <c:orientation val="minMax"/>
        </c:scaling>
        <c:delete val="1"/>
        <c:axPos val="b"/>
        <c:majorGridlines>
          <c:spPr>
            <a:ln w="9525">
              <a:solidFill>
                <a:schemeClr val="lt1">
                  <a:lumMod val="50000"/>
                </a:schemeClr>
              </a:solidFill>
            </a:ln>
            <a:effectLst/>
          </c:spPr>
        </c:majorGridlines>
        <c:numFmt formatCode="#,##0.0" sourceLinked="1"/>
        <c:majorTickMark val="out"/>
        <c:minorTickMark val="none"/>
        <c:tickLblPos val="nextTo"/>
        <c:crossAx val="100322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noFill/>
      <a:round/>
    </a:ln>
    <a:effectLst/>
  </c:spPr>
  <c:txPr>
    <a:bodyPr/>
    <a:lstStyle/>
    <a:p>
      <a:pPr>
        <a:defRPr sz="800"/>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5.svg"/><Relationship Id="rId18" Type="http://schemas.openxmlformats.org/officeDocument/2006/relationships/hyperlink" Target="#sours!A1"/><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11.xml"/><Relationship Id="rId16" Type="http://schemas.openxmlformats.org/officeDocument/2006/relationships/image" Target="../media/image8.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svg"/><Relationship Id="rId5" Type="http://schemas.openxmlformats.org/officeDocument/2006/relationships/chart" Target="../charts/chart14.xml"/><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0.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489977</xdr:colOff>
      <xdr:row>24</xdr:row>
      <xdr:rowOff>174251</xdr:rowOff>
    </xdr:from>
    <xdr:to>
      <xdr:col>5</xdr:col>
      <xdr:colOff>442351</xdr:colOff>
      <xdr:row>40</xdr:row>
      <xdr:rowOff>23531</xdr:rowOff>
    </xdr:to>
    <xdr:graphicFrame macro="">
      <xdr:nvGraphicFramePr>
        <xdr:cNvPr id="2" name="Top 10 customers By quantity">
          <a:extLst>
            <a:ext uri="{FF2B5EF4-FFF2-40B4-BE49-F238E27FC236}">
              <a16:creationId xmlns:a16="http://schemas.microsoft.com/office/drawing/2014/main" id="{1E89C82E-AA35-E5C9-46BD-F95FABB56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633412</xdr:colOff>
      <xdr:row>26</xdr:row>
      <xdr:rowOff>142875</xdr:rowOff>
    </xdr:from>
    <xdr:to>
      <xdr:col>11</xdr:col>
      <xdr:colOff>157162</xdr:colOff>
      <xdr:row>41</xdr:row>
      <xdr:rowOff>171450</xdr:rowOff>
    </xdr:to>
    <xdr:graphicFrame macro="">
      <xdr:nvGraphicFramePr>
        <xdr:cNvPr id="3" name="Sales By Months">
          <a:extLst>
            <a:ext uri="{FF2B5EF4-FFF2-40B4-BE49-F238E27FC236}">
              <a16:creationId xmlns:a16="http://schemas.microsoft.com/office/drawing/2014/main" id="{CCBC1E30-6925-7183-3E60-4FCC99E53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454917</xdr:colOff>
      <xdr:row>60</xdr:row>
      <xdr:rowOff>14099</xdr:rowOff>
    </xdr:from>
    <xdr:to>
      <xdr:col>5</xdr:col>
      <xdr:colOff>587439</xdr:colOff>
      <xdr:row>75</xdr:row>
      <xdr:rowOff>21115</xdr:rowOff>
    </xdr:to>
    <xdr:graphicFrame macro="">
      <xdr:nvGraphicFramePr>
        <xdr:cNvPr id="6" name="Sales By Time">
          <a:extLst>
            <a:ext uri="{FF2B5EF4-FFF2-40B4-BE49-F238E27FC236}">
              <a16:creationId xmlns:a16="http://schemas.microsoft.com/office/drawing/2014/main" id="{472A9E11-2181-FE16-31E6-F32DBF78C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67235</xdr:colOff>
      <xdr:row>60</xdr:row>
      <xdr:rowOff>135590</xdr:rowOff>
    </xdr:from>
    <xdr:to>
      <xdr:col>12</xdr:col>
      <xdr:colOff>582706</xdr:colOff>
      <xdr:row>76</xdr:row>
      <xdr:rowOff>10084</xdr:rowOff>
    </xdr:to>
    <xdr:graphicFrame macro="">
      <xdr:nvGraphicFramePr>
        <xdr:cNvPr id="7" name="Quantities By Category &amp; Size">
          <a:extLst>
            <a:ext uri="{FF2B5EF4-FFF2-40B4-BE49-F238E27FC236}">
              <a16:creationId xmlns:a16="http://schemas.microsoft.com/office/drawing/2014/main" id="{0E08490D-4733-26FF-2EB6-1D577F029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237725</xdr:colOff>
      <xdr:row>86</xdr:row>
      <xdr:rowOff>149197</xdr:rowOff>
    </xdr:from>
    <xdr:to>
      <xdr:col>5</xdr:col>
      <xdr:colOff>316166</xdr:colOff>
      <xdr:row>102</xdr:row>
      <xdr:rowOff>23692</xdr:rowOff>
    </xdr:to>
    <xdr:graphicFrame macro="">
      <xdr:nvGraphicFramePr>
        <xdr:cNvPr id="8" name="Top 5 pizza">
          <a:extLst>
            <a:ext uri="{FF2B5EF4-FFF2-40B4-BE49-F238E27FC236}">
              <a16:creationId xmlns:a16="http://schemas.microsoft.com/office/drawing/2014/main" id="{C61153C3-6D12-647C-160A-F948D8495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85644</xdr:colOff>
      <xdr:row>86</xdr:row>
      <xdr:rowOff>125548</xdr:rowOff>
    </xdr:from>
    <xdr:to>
      <xdr:col>12</xdr:col>
      <xdr:colOff>108057</xdr:colOff>
      <xdr:row>102</xdr:row>
      <xdr:rowOff>2444</xdr:rowOff>
    </xdr:to>
    <xdr:graphicFrame macro="">
      <xdr:nvGraphicFramePr>
        <xdr:cNvPr id="9" name="category by sales">
          <a:extLst>
            <a:ext uri="{FF2B5EF4-FFF2-40B4-BE49-F238E27FC236}">
              <a16:creationId xmlns:a16="http://schemas.microsoft.com/office/drawing/2014/main" id="{E2C5AA3D-0C3D-7260-66E0-AD7BD22A4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57048</xdr:colOff>
      <xdr:row>118</xdr:row>
      <xdr:rowOff>162077</xdr:rowOff>
    </xdr:from>
    <xdr:to>
      <xdr:col>5</xdr:col>
      <xdr:colOff>343918</xdr:colOff>
      <xdr:row>134</xdr:row>
      <xdr:rowOff>42683</xdr:rowOff>
    </xdr:to>
    <xdr:graphicFrame macro="">
      <xdr:nvGraphicFramePr>
        <xdr:cNvPr id="10" name="Chart 9">
          <a:extLst>
            <a:ext uri="{FF2B5EF4-FFF2-40B4-BE49-F238E27FC236}">
              <a16:creationId xmlns:a16="http://schemas.microsoft.com/office/drawing/2014/main" id="{32D0CFF3-AE11-173E-88C9-87842FE2D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517253</xdr:colOff>
      <xdr:row>118</xdr:row>
      <xdr:rowOff>100344</xdr:rowOff>
    </xdr:from>
    <xdr:to>
      <xdr:col>9</xdr:col>
      <xdr:colOff>252335</xdr:colOff>
      <xdr:row>134</xdr:row>
      <xdr:rowOff>24143</xdr:rowOff>
    </xdr:to>
    <xdr:graphicFrame macro="">
      <xdr:nvGraphicFramePr>
        <xdr:cNvPr id="11" name="Sales By Size">
          <a:extLst>
            <a:ext uri="{FF2B5EF4-FFF2-40B4-BE49-F238E27FC236}">
              <a16:creationId xmlns:a16="http://schemas.microsoft.com/office/drawing/2014/main" id="{B7F6DF6C-C9F4-B36D-0F61-EE1C6073F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602499</xdr:colOff>
      <xdr:row>118</xdr:row>
      <xdr:rowOff>71048</xdr:rowOff>
    </xdr:from>
    <xdr:to>
      <xdr:col>14</xdr:col>
      <xdr:colOff>362856</xdr:colOff>
      <xdr:row>133</xdr:row>
      <xdr:rowOff>169124</xdr:rowOff>
    </xdr:to>
    <xdr:graphicFrame macro="">
      <xdr:nvGraphicFramePr>
        <xdr:cNvPr id="12" name="Chart 11">
          <a:extLst>
            <a:ext uri="{FF2B5EF4-FFF2-40B4-BE49-F238E27FC236}">
              <a16:creationId xmlns:a16="http://schemas.microsoft.com/office/drawing/2014/main" id="{0D2475D8-94CE-9CD5-72C8-F96DC56D0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9526</xdr:colOff>
      <xdr:row>0</xdr:row>
      <xdr:rowOff>-35387</xdr:rowOff>
    </xdr:from>
    <xdr:to>
      <xdr:col>13</xdr:col>
      <xdr:colOff>818029</xdr:colOff>
      <xdr:row>4</xdr:row>
      <xdr:rowOff>15374</xdr:rowOff>
    </xdr:to>
    <xdr:sp macro="" textlink="">
      <xdr:nvSpPr>
        <xdr:cNvPr id="4" name="Rectangle 3">
          <a:extLst>
            <a:ext uri="{FF2B5EF4-FFF2-40B4-BE49-F238E27FC236}">
              <a16:creationId xmlns:a16="http://schemas.microsoft.com/office/drawing/2014/main" id="{45A82F48-B41D-21A4-E153-1F56BC3C4399}"/>
            </a:ext>
          </a:extLst>
        </xdr:cNvPr>
        <xdr:cNvSpPr/>
      </xdr:nvSpPr>
      <xdr:spPr>
        <a:xfrm>
          <a:off x="9526" y="-35387"/>
          <a:ext cx="14378952" cy="778514"/>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4800">
              <a:latin typeface="Bahnschrift" panose="020B0502040204020203" pitchFamily="34" charset="0"/>
              <a:cs typeface="+mj-cs"/>
            </a:rPr>
            <a:t>sours</a:t>
          </a:r>
          <a:endParaRPr lang="ar-EG" sz="4800">
            <a:latin typeface="Bahnschrift" panose="020B0502040204020203" pitchFamily="34" charset="0"/>
            <a:cs typeface="+mj-cs"/>
          </a:endParaRPr>
        </a:p>
      </xdr:txBody>
    </xdr:sp>
    <xdr:clientData/>
  </xdr:twoCellAnchor>
  <xdr:twoCellAnchor editAs="oneCell">
    <xdr:from>
      <xdr:col>9</xdr:col>
      <xdr:colOff>1238250</xdr:colOff>
      <xdr:row>4</xdr:row>
      <xdr:rowOff>76200</xdr:rowOff>
    </xdr:from>
    <xdr:to>
      <xdr:col>12</xdr:col>
      <xdr:colOff>433642</xdr:colOff>
      <xdr:row>12</xdr:row>
      <xdr:rowOff>153081</xdr:rowOff>
    </xdr:to>
    <xdr:pic>
      <xdr:nvPicPr>
        <xdr:cNvPr id="5" name="Picture 4">
          <a:hlinkClick xmlns:r="http://schemas.openxmlformats.org/officeDocument/2006/relationships" r:id="rId10"/>
          <a:extLst>
            <a:ext uri="{FF2B5EF4-FFF2-40B4-BE49-F238E27FC236}">
              <a16:creationId xmlns:a16="http://schemas.microsoft.com/office/drawing/2014/main" id="{128750CF-82ED-4D96-9663-1DFACD7CECD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648950" y="800100"/>
          <a:ext cx="1786619" cy="15246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18</xdr:col>
      <xdr:colOff>171450</xdr:colOff>
      <xdr:row>1</xdr:row>
      <xdr:rowOff>171450</xdr:rowOff>
    </xdr:to>
    <xdr:sp macro="" textlink="">
      <xdr:nvSpPr>
        <xdr:cNvPr id="10" name="Rectangle 9">
          <a:extLst>
            <a:ext uri="{FF2B5EF4-FFF2-40B4-BE49-F238E27FC236}">
              <a16:creationId xmlns:a16="http://schemas.microsoft.com/office/drawing/2014/main" id="{610921D9-ECDC-CBB5-BF1F-67C95C30CC7E}"/>
            </a:ext>
          </a:extLst>
        </xdr:cNvPr>
        <xdr:cNvSpPr/>
      </xdr:nvSpPr>
      <xdr:spPr>
        <a:xfrm>
          <a:off x="0" y="28575"/>
          <a:ext cx="12515850" cy="323850"/>
        </a:xfrm>
        <a:prstGeom prst="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1" anchor="ctr"/>
        <a:lstStyle/>
        <a:p>
          <a:pPr algn="ctr"/>
          <a:r>
            <a:rPr lang="en-US" sz="2800">
              <a:solidFill>
                <a:schemeClr val="lt1"/>
              </a:solidFill>
              <a:effectLst/>
              <a:latin typeface="Bahnschrift" panose="020B0502040204020203" pitchFamily="34" charset="0"/>
              <a:ea typeface="+mn-ea"/>
              <a:cs typeface="29LT Bukra Bold" panose="000B0903020204020204"/>
            </a:rPr>
            <a:t>Sales Dashboard</a:t>
          </a:r>
          <a:r>
            <a:rPr lang="en-US" sz="2800" baseline="0">
              <a:solidFill>
                <a:schemeClr val="lt1"/>
              </a:solidFill>
              <a:effectLst/>
              <a:latin typeface="Bahnschrift" panose="020B0502040204020203" pitchFamily="34" charset="0"/>
              <a:ea typeface="+mn-ea"/>
              <a:cs typeface="29LT Bukra Bold" panose="000B0903020204020204"/>
            </a:rPr>
            <a:t> </a:t>
          </a:r>
          <a:endParaRPr lang="ar-EG" sz="2800">
            <a:effectLst/>
            <a:latin typeface="Bahnschrift" panose="020B0502040204020203" pitchFamily="34" charset="0"/>
            <a:cs typeface="29LT Bukra Bold" panose="000B0903020204020204"/>
          </a:endParaRPr>
        </a:p>
      </xdr:txBody>
    </xdr:sp>
    <xdr:clientData/>
  </xdr:twoCellAnchor>
  <xdr:twoCellAnchor>
    <xdr:from>
      <xdr:col>1</xdr:col>
      <xdr:colOff>186268</xdr:colOff>
      <xdr:row>3</xdr:row>
      <xdr:rowOff>155851</xdr:rowOff>
    </xdr:from>
    <xdr:to>
      <xdr:col>17</xdr:col>
      <xdr:colOff>258203</xdr:colOff>
      <xdr:row>4</xdr:row>
      <xdr:rowOff>178857</xdr:rowOff>
    </xdr:to>
    <xdr:grpSp>
      <xdr:nvGrpSpPr>
        <xdr:cNvPr id="61" name="Group 60">
          <a:extLst>
            <a:ext uri="{FF2B5EF4-FFF2-40B4-BE49-F238E27FC236}">
              <a16:creationId xmlns:a16="http://schemas.microsoft.com/office/drawing/2014/main" id="{4A28484B-1559-145D-2C36-E2D10CFEF4F5}"/>
            </a:ext>
          </a:extLst>
        </xdr:cNvPr>
        <xdr:cNvGrpSpPr/>
      </xdr:nvGrpSpPr>
      <xdr:grpSpPr>
        <a:xfrm>
          <a:off x="872068" y="698776"/>
          <a:ext cx="11044735" cy="203981"/>
          <a:chOff x="738718" y="698776"/>
          <a:chExt cx="11044735" cy="203981"/>
        </a:xfrm>
      </xdr:grpSpPr>
      <xdr:sp macro="" textlink="sours!T7">
        <xdr:nvSpPr>
          <xdr:cNvPr id="11" name="Rectangle: Rounded Corners 10">
            <a:extLst>
              <a:ext uri="{FF2B5EF4-FFF2-40B4-BE49-F238E27FC236}">
                <a16:creationId xmlns:a16="http://schemas.microsoft.com/office/drawing/2014/main" id="{345F8488-BE6D-43E6-AA23-C06F9D317629}"/>
              </a:ext>
            </a:extLst>
          </xdr:cNvPr>
          <xdr:cNvSpPr/>
        </xdr:nvSpPr>
        <xdr:spPr>
          <a:xfrm>
            <a:off x="738718" y="699966"/>
            <a:ext cx="1360800" cy="201600"/>
          </a:xfrm>
          <a:prstGeom prst="roundRect">
            <a:avLst/>
          </a:prstGeom>
          <a:solidFill>
            <a:schemeClr val="accent2">
              <a:lumMod val="60000"/>
              <a:lumOff val="4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fld id="{ADBFDF4B-8F47-4691-A7D9-0A2FE6FA20EB}" type="TxLink">
              <a:rPr lang="en-US" sz="2000" b="1" i="0" u="none" strike="noStrike">
                <a:solidFill>
                  <a:schemeClr val="tx1">
                    <a:lumMod val="95000"/>
                    <a:lumOff val="5000"/>
                  </a:schemeClr>
                </a:solidFill>
                <a:latin typeface="Calibri" panose="020F0502020204030204" pitchFamily="34" charset="0"/>
                <a:cs typeface="Calibri" panose="020F0502020204030204" pitchFamily="34" charset="0"/>
              </a:rPr>
              <a:pPr algn="ctr"/>
              <a:t>466</a:t>
            </a:fld>
            <a:endParaRPr lang="en-US" sz="2000" b="1" u="none">
              <a:solidFill>
                <a:schemeClr val="tx1">
                  <a:lumMod val="95000"/>
                  <a:lumOff val="5000"/>
                </a:schemeClr>
              </a:solidFill>
              <a:latin typeface="Calibri" panose="020F0502020204030204" pitchFamily="34" charset="0"/>
              <a:cs typeface="Calibri" panose="020F0502020204030204" pitchFamily="34" charset="0"/>
            </a:endParaRPr>
          </a:p>
        </xdr:txBody>
      </xdr:sp>
      <xdr:sp macro="" textlink="sours!T8">
        <xdr:nvSpPr>
          <xdr:cNvPr id="12" name="Rectangle: Rounded Corners 11">
            <a:extLst>
              <a:ext uri="{FF2B5EF4-FFF2-40B4-BE49-F238E27FC236}">
                <a16:creationId xmlns:a16="http://schemas.microsoft.com/office/drawing/2014/main" id="{18EC58B7-D1BA-26F5-4000-FF8888D2416B}"/>
              </a:ext>
            </a:extLst>
          </xdr:cNvPr>
          <xdr:cNvSpPr/>
        </xdr:nvSpPr>
        <xdr:spPr>
          <a:xfrm>
            <a:off x="3220376" y="698776"/>
            <a:ext cx="1360800" cy="203981"/>
          </a:xfrm>
          <a:prstGeom prst="roundRect">
            <a:avLst/>
          </a:prstGeom>
          <a:solidFill>
            <a:schemeClr val="accent2">
              <a:lumMod val="60000"/>
              <a:lumOff val="4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fld id="{52CE3674-DC4E-45D8-A649-6EF36BFEA2A5}" type="TxLink">
              <a:rPr lang="en-US" sz="1800" b="1" i="0" u="none" strike="noStrike">
                <a:solidFill>
                  <a:schemeClr val="tx1">
                    <a:lumMod val="95000"/>
                    <a:lumOff val="5000"/>
                  </a:schemeClr>
                </a:solidFill>
                <a:latin typeface="Calibri" panose="020F0502020204030204" pitchFamily="34" charset="0"/>
                <a:cs typeface="Calibri" panose="020F0502020204030204" pitchFamily="34" charset="0"/>
              </a:rPr>
              <a:pPr algn="ctr"/>
              <a:t>9528</a:t>
            </a:fld>
            <a:endParaRPr lang="en-US" sz="1800" b="1" u="none">
              <a:solidFill>
                <a:schemeClr val="tx1">
                  <a:lumMod val="95000"/>
                  <a:lumOff val="5000"/>
                </a:schemeClr>
              </a:solidFill>
              <a:latin typeface="Calibri" panose="020F0502020204030204" pitchFamily="34" charset="0"/>
              <a:cs typeface="Calibri" panose="020F0502020204030204" pitchFamily="34" charset="0"/>
            </a:endParaRPr>
          </a:p>
        </xdr:txBody>
      </xdr:sp>
      <xdr:sp macro="" textlink="sours!T9">
        <xdr:nvSpPr>
          <xdr:cNvPr id="13" name="Rectangle: Rounded Corners 12">
            <a:extLst>
              <a:ext uri="{FF2B5EF4-FFF2-40B4-BE49-F238E27FC236}">
                <a16:creationId xmlns:a16="http://schemas.microsoft.com/office/drawing/2014/main" id="{959083DE-3275-B9F0-F112-C74499FA99E9}"/>
              </a:ext>
            </a:extLst>
          </xdr:cNvPr>
          <xdr:cNvSpPr/>
        </xdr:nvSpPr>
        <xdr:spPr>
          <a:xfrm>
            <a:off x="5647664" y="701157"/>
            <a:ext cx="1360799" cy="199218"/>
          </a:xfrm>
          <a:prstGeom prst="roundRect">
            <a:avLst/>
          </a:prstGeom>
          <a:solidFill>
            <a:schemeClr val="accent2">
              <a:lumMod val="60000"/>
              <a:lumOff val="4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fld id="{DB41ADD4-C781-40BC-A6B0-08044EF6AD91}" type="TxLink">
              <a:rPr lang="en-US" sz="1800" b="1" i="0" u="none" strike="noStrike">
                <a:solidFill>
                  <a:schemeClr val="tx1">
                    <a:lumMod val="95000"/>
                    <a:lumOff val="5000"/>
                  </a:schemeClr>
                </a:solidFill>
                <a:latin typeface="Calibri" panose="020F0502020204030204" pitchFamily="34" charset="0"/>
                <a:cs typeface="Calibri" panose="020F0502020204030204" pitchFamily="34" charset="0"/>
              </a:rPr>
              <a:pPr algn="ctr"/>
              <a:t>661</a:t>
            </a:fld>
            <a:endParaRPr lang="en-US" sz="1800" b="1" u="none">
              <a:solidFill>
                <a:schemeClr val="tx1">
                  <a:lumMod val="95000"/>
                  <a:lumOff val="5000"/>
                </a:schemeClr>
              </a:solidFill>
              <a:latin typeface="Calibri" panose="020F0502020204030204" pitchFamily="34" charset="0"/>
              <a:cs typeface="Calibri" panose="020F0502020204030204" pitchFamily="34" charset="0"/>
            </a:endParaRPr>
          </a:p>
        </xdr:txBody>
      </xdr:sp>
      <xdr:sp macro="" textlink="sours!T10">
        <xdr:nvSpPr>
          <xdr:cNvPr id="14" name="Rectangle: Rounded Corners 13">
            <a:extLst>
              <a:ext uri="{FF2B5EF4-FFF2-40B4-BE49-F238E27FC236}">
                <a16:creationId xmlns:a16="http://schemas.microsoft.com/office/drawing/2014/main" id="{4800015C-55BE-69BD-2841-8533E4A11DCB}"/>
              </a:ext>
            </a:extLst>
          </xdr:cNvPr>
          <xdr:cNvSpPr/>
        </xdr:nvSpPr>
        <xdr:spPr>
          <a:xfrm>
            <a:off x="8053329" y="699966"/>
            <a:ext cx="1360799" cy="201600"/>
          </a:xfrm>
          <a:prstGeom prst="roundRect">
            <a:avLst/>
          </a:prstGeom>
          <a:solidFill>
            <a:schemeClr val="accent2">
              <a:lumMod val="60000"/>
              <a:lumOff val="4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fld id="{7E4ABE58-8E11-4E28-8D53-85098299C629}" type="TxLink">
              <a:rPr lang="en-US" sz="1800" b="1" i="0" u="none" strike="noStrike">
                <a:solidFill>
                  <a:schemeClr val="tx1">
                    <a:lumMod val="95000"/>
                    <a:lumOff val="5000"/>
                  </a:schemeClr>
                </a:solidFill>
                <a:latin typeface="Calibri" panose="020F0502020204030204" pitchFamily="34" charset="0"/>
                <a:cs typeface="Calibri" panose="020F0502020204030204" pitchFamily="34" charset="0"/>
              </a:rPr>
              <a:pPr algn="ctr"/>
              <a:t>20</a:t>
            </a:fld>
            <a:endParaRPr lang="en-US" sz="1800" b="1" u="none">
              <a:solidFill>
                <a:schemeClr val="tx1">
                  <a:lumMod val="95000"/>
                  <a:lumOff val="5000"/>
                </a:schemeClr>
              </a:solidFill>
              <a:latin typeface="Calibri" panose="020F0502020204030204" pitchFamily="34" charset="0"/>
              <a:cs typeface="Calibri" panose="020F0502020204030204" pitchFamily="34" charset="0"/>
            </a:endParaRPr>
          </a:p>
        </xdr:txBody>
      </xdr:sp>
      <xdr:sp macro="" textlink="sours!T11">
        <xdr:nvSpPr>
          <xdr:cNvPr id="15" name="Rectangle: Rounded Corners 14">
            <a:extLst>
              <a:ext uri="{FF2B5EF4-FFF2-40B4-BE49-F238E27FC236}">
                <a16:creationId xmlns:a16="http://schemas.microsoft.com/office/drawing/2014/main" id="{452417F9-C90B-ED3F-1241-B250C5C985B3}"/>
              </a:ext>
            </a:extLst>
          </xdr:cNvPr>
          <xdr:cNvSpPr/>
        </xdr:nvSpPr>
        <xdr:spPr>
          <a:xfrm>
            <a:off x="10422654" y="699966"/>
            <a:ext cx="1360799" cy="201600"/>
          </a:xfrm>
          <a:prstGeom prst="roundRect">
            <a:avLst/>
          </a:prstGeom>
          <a:solidFill>
            <a:schemeClr val="accent2">
              <a:lumMod val="60000"/>
              <a:lumOff val="4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fld id="{44C43A9C-7D3F-4C9D-A826-314746AF27EF}" type="TxLink">
              <a:rPr lang="en-US" sz="1800" b="1" i="0" u="none" strike="noStrike">
                <a:solidFill>
                  <a:schemeClr val="tx1">
                    <a:lumMod val="95000"/>
                    <a:lumOff val="5000"/>
                  </a:schemeClr>
                </a:solidFill>
                <a:latin typeface="Calibri" panose="020F0502020204030204" pitchFamily="34" charset="0"/>
                <a:cs typeface="Calibri" panose="020F0502020204030204" pitchFamily="34" charset="0"/>
              </a:rPr>
              <a:pPr algn="ctr"/>
              <a:t>14</a:t>
            </a:fld>
            <a:endParaRPr lang="en-US" sz="1800" b="1" u="none">
              <a:solidFill>
                <a:schemeClr val="tx1">
                  <a:lumMod val="95000"/>
                  <a:lumOff val="5000"/>
                </a:schemeClr>
              </a:solidFill>
              <a:latin typeface="Calibri" panose="020F0502020204030204" pitchFamily="34" charset="0"/>
              <a:cs typeface="Calibri" panose="020F0502020204030204" pitchFamily="34" charset="0"/>
            </a:endParaRPr>
          </a:p>
        </xdr:txBody>
      </xdr:sp>
    </xdr:grpSp>
    <xdr:clientData/>
  </xdr:twoCellAnchor>
  <xdr:twoCellAnchor>
    <xdr:from>
      <xdr:col>1</xdr:col>
      <xdr:colOff>190500</xdr:colOff>
      <xdr:row>2</xdr:row>
      <xdr:rowOff>39490</xdr:rowOff>
    </xdr:from>
    <xdr:to>
      <xdr:col>17</xdr:col>
      <xdr:colOff>259216</xdr:colOff>
      <xdr:row>3</xdr:row>
      <xdr:rowOff>128515</xdr:rowOff>
    </xdr:to>
    <xdr:grpSp>
      <xdr:nvGrpSpPr>
        <xdr:cNvPr id="60" name="Group 59">
          <a:extLst>
            <a:ext uri="{FF2B5EF4-FFF2-40B4-BE49-F238E27FC236}">
              <a16:creationId xmlns:a16="http://schemas.microsoft.com/office/drawing/2014/main" id="{FFFA9322-AACC-DA7D-F372-D2E29EAD31CB}"/>
            </a:ext>
          </a:extLst>
        </xdr:cNvPr>
        <xdr:cNvGrpSpPr/>
      </xdr:nvGrpSpPr>
      <xdr:grpSpPr>
        <a:xfrm>
          <a:off x="876300" y="401440"/>
          <a:ext cx="11041516" cy="270000"/>
          <a:chOff x="742950" y="401440"/>
          <a:chExt cx="11041516" cy="270000"/>
        </a:xfrm>
      </xdr:grpSpPr>
      <xdr:sp macro="" textlink="">
        <xdr:nvSpPr>
          <xdr:cNvPr id="21" name="Rectangle: Rounded Corners 20">
            <a:extLst>
              <a:ext uri="{FF2B5EF4-FFF2-40B4-BE49-F238E27FC236}">
                <a16:creationId xmlns:a16="http://schemas.microsoft.com/office/drawing/2014/main" id="{CCDE7343-6E01-E799-B73F-8BEB30B534A5}"/>
              </a:ext>
            </a:extLst>
          </xdr:cNvPr>
          <xdr:cNvSpPr/>
        </xdr:nvSpPr>
        <xdr:spPr>
          <a:xfrm>
            <a:off x="742950" y="402204"/>
            <a:ext cx="1362075" cy="268472"/>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r>
              <a:rPr lang="en-US" sz="1800" b="1" i="0" u="none" strike="noStrike">
                <a:solidFill>
                  <a:schemeClr val="bg1"/>
                </a:solidFill>
                <a:latin typeface="Calibri" panose="020F0502020204030204" pitchFamily="34" charset="0"/>
                <a:cs typeface="29LT Bukra Bold" panose="000B0903020204020204"/>
              </a:rPr>
              <a:t>Customers</a:t>
            </a:r>
          </a:p>
        </xdr:txBody>
      </xdr:sp>
      <xdr:sp macro="" textlink="">
        <xdr:nvSpPr>
          <xdr:cNvPr id="22" name="Rectangle: Rounded Corners 21">
            <a:extLst>
              <a:ext uri="{FF2B5EF4-FFF2-40B4-BE49-F238E27FC236}">
                <a16:creationId xmlns:a16="http://schemas.microsoft.com/office/drawing/2014/main" id="{8A6FC242-1DD2-80AD-61FC-CC534F0F020F}"/>
              </a:ext>
            </a:extLst>
          </xdr:cNvPr>
          <xdr:cNvSpPr/>
        </xdr:nvSpPr>
        <xdr:spPr>
          <a:xfrm>
            <a:off x="3233216" y="402631"/>
            <a:ext cx="1360800" cy="267619"/>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r>
              <a:rPr lang="en-US" sz="1800" b="1" i="0" u="none" strike="noStrike">
                <a:solidFill>
                  <a:schemeClr val="bg1"/>
                </a:solidFill>
                <a:latin typeface="Calibri" panose="020F0502020204030204" pitchFamily="34" charset="0"/>
                <a:cs typeface="29LT Bukra Bold" panose="000B0903020204020204"/>
              </a:rPr>
              <a:t>Sales</a:t>
            </a:r>
          </a:p>
        </xdr:txBody>
      </xdr:sp>
      <xdr:sp macro="" textlink="">
        <xdr:nvSpPr>
          <xdr:cNvPr id="23" name="Rectangle: Rounded Corners 22">
            <a:extLst>
              <a:ext uri="{FF2B5EF4-FFF2-40B4-BE49-F238E27FC236}">
                <a16:creationId xmlns:a16="http://schemas.microsoft.com/office/drawing/2014/main" id="{94AA0D75-29C1-8C4B-E6D8-2CE1FC688F5C}"/>
              </a:ext>
            </a:extLst>
          </xdr:cNvPr>
          <xdr:cNvSpPr/>
        </xdr:nvSpPr>
        <xdr:spPr>
          <a:xfrm>
            <a:off x="5652799" y="402631"/>
            <a:ext cx="1360800" cy="267619"/>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r>
              <a:rPr lang="en-US" sz="1800" b="1" i="0" u="none" strike="noStrike">
                <a:solidFill>
                  <a:schemeClr val="bg1"/>
                </a:solidFill>
                <a:latin typeface="Calibri" panose="020F0502020204030204" pitchFamily="34" charset="0"/>
                <a:cs typeface="29LT Bukra Bold" panose="000B0903020204020204"/>
              </a:rPr>
              <a:t>Quantity</a:t>
            </a:r>
          </a:p>
        </xdr:txBody>
      </xdr:sp>
      <xdr:sp macro="" textlink="">
        <xdr:nvSpPr>
          <xdr:cNvPr id="24" name="Rectangle: Rounded Corners 23">
            <a:extLst>
              <a:ext uri="{FF2B5EF4-FFF2-40B4-BE49-F238E27FC236}">
                <a16:creationId xmlns:a16="http://schemas.microsoft.com/office/drawing/2014/main" id="{182C7CA8-FC75-678F-BFB0-559866955927}"/>
              </a:ext>
            </a:extLst>
          </xdr:cNvPr>
          <xdr:cNvSpPr/>
        </xdr:nvSpPr>
        <xdr:spPr>
          <a:xfrm>
            <a:off x="8047711" y="401440"/>
            <a:ext cx="1360799" cy="270000"/>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r>
              <a:rPr lang="en-US" sz="900" b="1" i="0" u="none" strike="noStrike">
                <a:solidFill>
                  <a:schemeClr val="bg1"/>
                </a:solidFill>
                <a:latin typeface="Calibri" panose="020F0502020204030204" pitchFamily="34" charset="0"/>
                <a:cs typeface="29LT Bukra Bold" panose="000B0903020204020204"/>
              </a:rPr>
              <a:t>Avg price per customer</a:t>
            </a:r>
          </a:p>
          <a:p>
            <a:pPr algn="ctr"/>
            <a:endParaRPr lang="en-US" sz="900" b="1" i="0" u="none" strike="noStrike">
              <a:solidFill>
                <a:schemeClr val="bg1"/>
              </a:solidFill>
              <a:latin typeface="Calibri" panose="020F0502020204030204" pitchFamily="34" charset="0"/>
              <a:cs typeface="29LT Bukra Bold" panose="000B0903020204020204"/>
            </a:endParaRPr>
          </a:p>
        </xdr:txBody>
      </xdr:sp>
      <xdr:sp macro="" textlink="">
        <xdr:nvSpPr>
          <xdr:cNvPr id="25" name="Rectangle: Rounded Corners 24">
            <a:extLst>
              <a:ext uri="{FF2B5EF4-FFF2-40B4-BE49-F238E27FC236}">
                <a16:creationId xmlns:a16="http://schemas.microsoft.com/office/drawing/2014/main" id="{CA9AE848-C635-87F3-6454-165CA8FF25C5}"/>
              </a:ext>
            </a:extLst>
          </xdr:cNvPr>
          <xdr:cNvSpPr/>
        </xdr:nvSpPr>
        <xdr:spPr>
          <a:xfrm>
            <a:off x="10423666" y="401440"/>
            <a:ext cx="1360800" cy="270000"/>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vert="horz" rtlCol="0" anchor="ctr"/>
          <a:lstStyle/>
          <a:p>
            <a:pPr algn="ctr"/>
            <a:r>
              <a:rPr lang="en-US" sz="900" b="1" i="0" u="none" strike="noStrike">
                <a:solidFill>
                  <a:schemeClr val="bg1"/>
                </a:solidFill>
                <a:latin typeface="Calibri" panose="020F0502020204030204" pitchFamily="34" charset="0"/>
                <a:cs typeface="29LT Bukra Bold" panose="000B0903020204020204"/>
              </a:rPr>
              <a:t>Avg price per Quantity</a:t>
            </a:r>
          </a:p>
          <a:p>
            <a:pPr algn="ctr"/>
            <a:endParaRPr lang="en-US" sz="900" b="1" i="0" u="none" strike="noStrike">
              <a:solidFill>
                <a:schemeClr val="bg1"/>
              </a:solidFill>
              <a:latin typeface="Calibri" panose="020F0502020204030204" pitchFamily="34" charset="0"/>
              <a:cs typeface="29LT Bukra Bold" panose="000B0903020204020204"/>
            </a:endParaRPr>
          </a:p>
        </xdr:txBody>
      </xdr:sp>
    </xdr:grpSp>
    <xdr:clientData/>
  </xdr:twoCellAnchor>
  <xdr:twoCellAnchor>
    <xdr:from>
      <xdr:col>0</xdr:col>
      <xdr:colOff>8769</xdr:colOff>
      <xdr:row>5</xdr:row>
      <xdr:rowOff>103034</xdr:rowOff>
    </xdr:from>
    <xdr:to>
      <xdr:col>3</xdr:col>
      <xdr:colOff>57978</xdr:colOff>
      <xdr:row>13</xdr:row>
      <xdr:rowOff>9111</xdr:rowOff>
    </xdr:to>
    <xdr:graphicFrame macro="">
      <xdr:nvGraphicFramePr>
        <xdr:cNvPr id="42" name="Sales By Size">
          <a:extLst>
            <a:ext uri="{FF2B5EF4-FFF2-40B4-BE49-F238E27FC236}">
              <a16:creationId xmlns:a16="http://schemas.microsoft.com/office/drawing/2014/main" id="{AE6573A5-B8F2-4BB8-B15B-43C1ED585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55043</xdr:colOff>
      <xdr:row>5</xdr:row>
      <xdr:rowOff>100220</xdr:rowOff>
    </xdr:from>
    <xdr:to>
      <xdr:col>6</xdr:col>
      <xdr:colOff>254422</xdr:colOff>
      <xdr:row>13</xdr:row>
      <xdr:rowOff>6674</xdr:rowOff>
    </xdr:to>
    <xdr:graphicFrame macro="">
      <xdr:nvGraphicFramePr>
        <xdr:cNvPr id="43" name="Chart 42">
          <a:extLst>
            <a:ext uri="{FF2B5EF4-FFF2-40B4-BE49-F238E27FC236}">
              <a16:creationId xmlns:a16="http://schemas.microsoft.com/office/drawing/2014/main" id="{BAEA1FCA-9DA4-4103-85C9-D7B9ED5B3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60799</xdr:colOff>
      <xdr:row>5</xdr:row>
      <xdr:rowOff>88411</xdr:rowOff>
    </xdr:from>
    <xdr:to>
      <xdr:col>12</xdr:col>
      <xdr:colOff>347383</xdr:colOff>
      <xdr:row>22</xdr:row>
      <xdr:rowOff>40821</xdr:rowOff>
    </xdr:to>
    <xdr:graphicFrame macro="">
      <xdr:nvGraphicFramePr>
        <xdr:cNvPr id="44" name="Top 10 customers By quantity">
          <a:extLst>
            <a:ext uri="{FF2B5EF4-FFF2-40B4-BE49-F238E27FC236}">
              <a16:creationId xmlns:a16="http://schemas.microsoft.com/office/drawing/2014/main" id="{9139FF4B-7F97-408D-A96F-C363EBA07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357466</xdr:colOff>
      <xdr:row>5</xdr:row>
      <xdr:rowOff>90038</xdr:rowOff>
    </xdr:from>
    <xdr:to>
      <xdr:col>14</xdr:col>
      <xdr:colOff>555527</xdr:colOff>
      <xdr:row>22</xdr:row>
      <xdr:rowOff>19051</xdr:rowOff>
    </xdr:to>
    <xdr:graphicFrame macro="">
      <xdr:nvGraphicFramePr>
        <xdr:cNvPr id="45" name="Chart 44">
          <a:extLst>
            <a:ext uri="{FF2B5EF4-FFF2-40B4-BE49-F238E27FC236}">
              <a16:creationId xmlns:a16="http://schemas.microsoft.com/office/drawing/2014/main" id="{01581352-C713-47A9-A4A7-F862E2E3C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206848</xdr:colOff>
      <xdr:row>22</xdr:row>
      <xdr:rowOff>91595</xdr:rowOff>
    </xdr:from>
    <xdr:to>
      <xdr:col>9</xdr:col>
      <xdr:colOff>112274</xdr:colOff>
      <xdr:row>30</xdr:row>
      <xdr:rowOff>110109</xdr:rowOff>
    </xdr:to>
    <xdr:graphicFrame macro="">
      <xdr:nvGraphicFramePr>
        <xdr:cNvPr id="46" name="Sales By Months">
          <a:extLst>
            <a:ext uri="{FF2B5EF4-FFF2-40B4-BE49-F238E27FC236}">
              <a16:creationId xmlns:a16="http://schemas.microsoft.com/office/drawing/2014/main" id="{EA8D2B1D-7A49-4C37-BBB9-0CBFF55A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147886</xdr:colOff>
      <xdr:row>22</xdr:row>
      <xdr:rowOff>84287</xdr:rowOff>
    </xdr:from>
    <xdr:to>
      <xdr:col>14</xdr:col>
      <xdr:colOff>570139</xdr:colOff>
      <xdr:row>30</xdr:row>
      <xdr:rowOff>100852</xdr:rowOff>
    </xdr:to>
    <xdr:graphicFrame macro="">
      <xdr:nvGraphicFramePr>
        <xdr:cNvPr id="47" name="Sales By Time">
          <a:extLst>
            <a:ext uri="{FF2B5EF4-FFF2-40B4-BE49-F238E27FC236}">
              <a16:creationId xmlns:a16="http://schemas.microsoft.com/office/drawing/2014/main" id="{5C98FBD6-5C58-4AD8-83DB-63F2D4DFF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275908</xdr:colOff>
      <xdr:row>5</xdr:row>
      <xdr:rowOff>94229</xdr:rowOff>
    </xdr:from>
    <xdr:to>
      <xdr:col>10</xdr:col>
      <xdr:colOff>9525</xdr:colOff>
      <xdr:row>22</xdr:row>
      <xdr:rowOff>57149</xdr:rowOff>
    </xdr:to>
    <xdr:graphicFrame macro="">
      <xdr:nvGraphicFramePr>
        <xdr:cNvPr id="48" name="Quantities By Category &amp; Size">
          <a:extLst>
            <a:ext uri="{FF2B5EF4-FFF2-40B4-BE49-F238E27FC236}">
              <a16:creationId xmlns:a16="http://schemas.microsoft.com/office/drawing/2014/main" id="{56FB2155-1A6B-44F0-AF4F-222B263EA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3728</xdr:colOff>
      <xdr:row>13</xdr:row>
      <xdr:rowOff>14390</xdr:rowOff>
    </xdr:from>
    <xdr:to>
      <xdr:col>3</xdr:col>
      <xdr:colOff>89808</xdr:colOff>
      <xdr:row>22</xdr:row>
      <xdr:rowOff>59850</xdr:rowOff>
    </xdr:to>
    <xdr:graphicFrame macro="">
      <xdr:nvGraphicFramePr>
        <xdr:cNvPr id="49" name="category by sales">
          <a:extLst>
            <a:ext uri="{FF2B5EF4-FFF2-40B4-BE49-F238E27FC236}">
              <a16:creationId xmlns:a16="http://schemas.microsoft.com/office/drawing/2014/main" id="{8E10F78F-0F81-4DE3-8AB1-D58150B4F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114301</xdr:colOff>
      <xdr:row>13</xdr:row>
      <xdr:rowOff>28576</xdr:rowOff>
    </xdr:from>
    <xdr:to>
      <xdr:col>6</xdr:col>
      <xdr:colOff>257175</xdr:colOff>
      <xdr:row>22</xdr:row>
      <xdr:rowOff>57151</xdr:rowOff>
    </xdr:to>
    <xdr:graphicFrame macro="">
      <xdr:nvGraphicFramePr>
        <xdr:cNvPr id="50" name="Top 5 pizza">
          <a:extLst>
            <a:ext uri="{FF2B5EF4-FFF2-40B4-BE49-F238E27FC236}">
              <a16:creationId xmlns:a16="http://schemas.microsoft.com/office/drawing/2014/main" id="{6BCDBCAD-8D60-477B-B645-47FB9E3A4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577496</xdr:colOff>
      <xdr:row>18</xdr:row>
      <xdr:rowOff>6778</xdr:rowOff>
    </xdr:from>
    <xdr:to>
      <xdr:col>16</xdr:col>
      <xdr:colOff>306457</xdr:colOff>
      <xdr:row>24</xdr:row>
      <xdr:rowOff>77954</xdr:rowOff>
    </xdr:to>
    <mc:AlternateContent xmlns:mc="http://schemas.openxmlformats.org/markup-compatibility/2006">
      <mc:Choice xmlns:a14="http://schemas.microsoft.com/office/drawing/2010/main" Requires="a14">
        <xdr:graphicFrame macro="">
          <xdr:nvGraphicFramePr>
            <xdr:cNvPr id="51" name="pizza_category">
              <a:extLst>
                <a:ext uri="{FF2B5EF4-FFF2-40B4-BE49-F238E27FC236}">
                  <a16:creationId xmlns:a16="http://schemas.microsoft.com/office/drawing/2014/main" id="{2CD091BB-3726-47CB-B01C-65481BC0F068}"/>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dr:sp macro="" textlink="">
          <xdr:nvSpPr>
            <xdr:cNvPr id="0" name=""/>
            <xdr:cNvSpPr>
              <a:spLocks noTextEdit="1"/>
            </xdr:cNvSpPr>
          </xdr:nvSpPr>
          <xdr:spPr>
            <a:xfrm>
              <a:off x="10178696" y="3264328"/>
              <a:ext cx="1100561" cy="11570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385331</xdr:colOff>
      <xdr:row>18</xdr:row>
      <xdr:rowOff>13502</xdr:rowOff>
    </xdr:from>
    <xdr:to>
      <xdr:col>18</xdr:col>
      <xdr:colOff>163014</xdr:colOff>
      <xdr:row>24</xdr:row>
      <xdr:rowOff>79663</xdr:rowOff>
    </xdr:to>
    <mc:AlternateContent xmlns:mc="http://schemas.openxmlformats.org/markup-compatibility/2006">
      <mc:Choice xmlns:a14="http://schemas.microsoft.com/office/drawing/2010/main" Requires="a14">
        <xdr:graphicFrame macro="">
          <xdr:nvGraphicFramePr>
            <xdr:cNvPr id="52" name="pizza_size">
              <a:extLst>
                <a:ext uri="{FF2B5EF4-FFF2-40B4-BE49-F238E27FC236}">
                  <a16:creationId xmlns:a16="http://schemas.microsoft.com/office/drawing/2014/main" id="{A565B711-692B-41EC-8AC1-1A1B3A1B38A7}"/>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dr:sp macro="" textlink="">
          <xdr:nvSpPr>
            <xdr:cNvPr id="0" name=""/>
            <xdr:cNvSpPr>
              <a:spLocks noTextEdit="1"/>
            </xdr:cNvSpPr>
          </xdr:nvSpPr>
          <xdr:spPr>
            <a:xfrm>
              <a:off x="11358131" y="3271052"/>
              <a:ext cx="1149283" cy="115201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561975</xdr:colOff>
      <xdr:row>24</xdr:row>
      <xdr:rowOff>107355</xdr:rowOff>
    </xdr:from>
    <xdr:to>
      <xdr:col>18</xdr:col>
      <xdr:colOff>165653</xdr:colOff>
      <xdr:row>30</xdr:row>
      <xdr:rowOff>115956</xdr:rowOff>
    </xdr:to>
    <mc:AlternateContent xmlns:mc="http://schemas.openxmlformats.org/markup-compatibility/2006">
      <mc:Choice xmlns:a14="http://schemas.microsoft.com/office/drawing/2010/main" Requires="a14">
        <xdr:graphicFrame macro="">
          <xdr:nvGraphicFramePr>
            <xdr:cNvPr id="53" name="pizza_name">
              <a:extLst>
                <a:ext uri="{FF2B5EF4-FFF2-40B4-BE49-F238E27FC236}">
                  <a16:creationId xmlns:a16="http://schemas.microsoft.com/office/drawing/2014/main" id="{D34AD4E5-5076-4313-83F9-7A6FC98438AA}"/>
                </a:ext>
              </a:extLst>
            </xdr:cNvPr>
            <xdr:cNvGraphicFramePr/>
          </xdr:nvGraphicFramePr>
          <xdr:xfrm>
            <a:off x="0" y="0"/>
            <a:ext cx="0" cy="0"/>
          </xdr:xfrm>
          <a:graphic>
            <a:graphicData uri="http://schemas.microsoft.com/office/drawing/2010/slicer">
              <sle:slicer xmlns:sle="http://schemas.microsoft.com/office/drawing/2010/slicer" name="pizza_name"/>
            </a:graphicData>
          </a:graphic>
        </xdr:graphicFrame>
      </mc:Choice>
      <mc:Fallback>
        <xdr:sp macro="" textlink="">
          <xdr:nvSpPr>
            <xdr:cNvPr id="0" name=""/>
            <xdr:cNvSpPr>
              <a:spLocks noTextEdit="1"/>
            </xdr:cNvSpPr>
          </xdr:nvSpPr>
          <xdr:spPr>
            <a:xfrm>
              <a:off x="10163175" y="4450755"/>
              <a:ext cx="2346878" cy="109445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364484</xdr:colOff>
      <xdr:row>5</xdr:row>
      <xdr:rowOff>73458</xdr:rowOff>
    </xdr:from>
    <xdr:to>
      <xdr:col>18</xdr:col>
      <xdr:colOff>190500</xdr:colOff>
      <xdr:row>18</xdr:row>
      <xdr:rowOff>0</xdr:rowOff>
    </xdr:to>
    <mc:AlternateContent xmlns:mc="http://schemas.openxmlformats.org/markup-compatibility/2006">
      <mc:Choice xmlns:a14="http://schemas.microsoft.com/office/drawing/2010/main" Requires="a14">
        <xdr:graphicFrame macro="">
          <xdr:nvGraphicFramePr>
            <xdr:cNvPr id="54" name="order_time (Hour)">
              <a:extLst>
                <a:ext uri="{FF2B5EF4-FFF2-40B4-BE49-F238E27FC236}">
                  <a16:creationId xmlns:a16="http://schemas.microsoft.com/office/drawing/2014/main" id="{2547CB27-CCA4-4439-A5D7-C06270BEFF64}"/>
                </a:ext>
              </a:extLst>
            </xdr:cNvPr>
            <xdr:cNvGraphicFramePr/>
          </xdr:nvGraphicFramePr>
          <xdr:xfrm>
            <a:off x="0" y="0"/>
            <a:ext cx="0" cy="0"/>
          </xdr:xfrm>
          <a:graphic>
            <a:graphicData uri="http://schemas.microsoft.com/office/drawing/2010/slicer">
              <sle:slicer xmlns:sle="http://schemas.microsoft.com/office/drawing/2010/slicer" name="order_time (Hour)"/>
            </a:graphicData>
          </a:graphic>
        </xdr:graphicFrame>
      </mc:Choice>
      <mc:Fallback>
        <xdr:sp macro="" textlink="">
          <xdr:nvSpPr>
            <xdr:cNvPr id="0" name=""/>
            <xdr:cNvSpPr>
              <a:spLocks noTextEdit="1"/>
            </xdr:cNvSpPr>
          </xdr:nvSpPr>
          <xdr:spPr>
            <a:xfrm>
              <a:off x="11337284" y="978333"/>
              <a:ext cx="1197616" cy="227921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575645</xdr:colOff>
      <xdr:row>5</xdr:row>
      <xdr:rowOff>97871</xdr:rowOff>
    </xdr:from>
    <xdr:to>
      <xdr:col>16</xdr:col>
      <xdr:colOff>313765</xdr:colOff>
      <xdr:row>17</xdr:row>
      <xdr:rowOff>152400</xdr:rowOff>
    </xdr:to>
    <mc:AlternateContent xmlns:mc="http://schemas.openxmlformats.org/markup-compatibility/2006">
      <mc:Choice xmlns:a14="http://schemas.microsoft.com/office/drawing/2010/main" Requires="a14">
        <xdr:graphicFrame macro="">
          <xdr:nvGraphicFramePr>
            <xdr:cNvPr id="55" name="order_date (Month)">
              <a:extLst>
                <a:ext uri="{FF2B5EF4-FFF2-40B4-BE49-F238E27FC236}">
                  <a16:creationId xmlns:a16="http://schemas.microsoft.com/office/drawing/2014/main" id="{D9D2ABAD-66F4-4879-951F-E2E43B7C16F1}"/>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10176845" y="1002746"/>
              <a:ext cx="1109720" cy="222622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200025</xdr:colOff>
      <xdr:row>1</xdr:row>
      <xdr:rowOff>171450</xdr:rowOff>
    </xdr:from>
    <xdr:to>
      <xdr:col>1</xdr:col>
      <xdr:colOff>133350</xdr:colOff>
      <xdr:row>5</xdr:row>
      <xdr:rowOff>66675</xdr:rowOff>
    </xdr:to>
    <xdr:pic>
      <xdr:nvPicPr>
        <xdr:cNvPr id="3" name="Graphic 2" descr="Users with solid fill">
          <a:extLst>
            <a:ext uri="{FF2B5EF4-FFF2-40B4-BE49-F238E27FC236}">
              <a16:creationId xmlns:a16="http://schemas.microsoft.com/office/drawing/2014/main" id="{C0F044AE-6094-AD7F-7439-2EABAB4177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0025" y="352425"/>
          <a:ext cx="619125" cy="619125"/>
        </a:xfrm>
        <a:prstGeom prst="rect">
          <a:avLst/>
        </a:prstGeom>
      </xdr:spPr>
    </xdr:pic>
    <xdr:clientData/>
  </xdr:twoCellAnchor>
  <xdr:twoCellAnchor editAs="oneCell">
    <xdr:from>
      <xdr:col>11</xdr:col>
      <xdr:colOff>31305</xdr:colOff>
      <xdr:row>2</xdr:row>
      <xdr:rowOff>4928</xdr:rowOff>
    </xdr:from>
    <xdr:to>
      <xdr:col>11</xdr:col>
      <xdr:colOff>569303</xdr:colOff>
      <xdr:row>5</xdr:row>
      <xdr:rowOff>1</xdr:rowOff>
    </xdr:to>
    <xdr:pic>
      <xdr:nvPicPr>
        <xdr:cNvPr id="5" name="Graphic 4" descr="Bar chart with solid fill">
          <a:extLst>
            <a:ext uri="{FF2B5EF4-FFF2-40B4-BE49-F238E27FC236}">
              <a16:creationId xmlns:a16="http://schemas.microsoft.com/office/drawing/2014/main" id="{036AE280-A79E-C1BF-6F86-BCCE909EE5D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75105" y="366878"/>
          <a:ext cx="537998" cy="537998"/>
        </a:xfrm>
        <a:prstGeom prst="rect">
          <a:avLst/>
        </a:prstGeom>
      </xdr:spPr>
    </xdr:pic>
    <xdr:clientData/>
  </xdr:twoCellAnchor>
  <xdr:twoCellAnchor editAs="oneCell">
    <xdr:from>
      <xdr:col>7</xdr:col>
      <xdr:colOff>351836</xdr:colOff>
      <xdr:row>1</xdr:row>
      <xdr:rowOff>109501</xdr:rowOff>
    </xdr:from>
    <xdr:to>
      <xdr:col>8</xdr:col>
      <xdr:colOff>345547</xdr:colOff>
      <xdr:row>5</xdr:row>
      <xdr:rowOff>65486</xdr:rowOff>
    </xdr:to>
    <xdr:pic>
      <xdr:nvPicPr>
        <xdr:cNvPr id="7" name="Graphic 6" descr="Burger and drink with solid fill">
          <a:extLst>
            <a:ext uri="{FF2B5EF4-FFF2-40B4-BE49-F238E27FC236}">
              <a16:creationId xmlns:a16="http://schemas.microsoft.com/office/drawing/2014/main" id="{0902DCE9-3348-587D-C878-6546B7A07A9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152436" y="290476"/>
          <a:ext cx="679511" cy="679885"/>
        </a:xfrm>
        <a:prstGeom prst="rect">
          <a:avLst/>
        </a:prstGeom>
      </xdr:spPr>
    </xdr:pic>
    <xdr:clientData/>
  </xdr:twoCellAnchor>
  <xdr:twoCellAnchor editAs="oneCell">
    <xdr:from>
      <xdr:col>3</xdr:col>
      <xdr:colOff>556024</xdr:colOff>
      <xdr:row>1</xdr:row>
      <xdr:rowOff>136921</xdr:rowOff>
    </xdr:from>
    <xdr:to>
      <xdr:col>4</xdr:col>
      <xdr:colOff>466726</xdr:colOff>
      <xdr:row>5</xdr:row>
      <xdr:rowOff>10095</xdr:rowOff>
    </xdr:to>
    <xdr:pic>
      <xdr:nvPicPr>
        <xdr:cNvPr id="9" name="Graphic 8" descr="Money with solid fill">
          <a:extLst>
            <a:ext uri="{FF2B5EF4-FFF2-40B4-BE49-F238E27FC236}">
              <a16:creationId xmlns:a16="http://schemas.microsoft.com/office/drawing/2014/main" id="{40AB11C0-BA0C-3375-43F9-DDE2316D1A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13424" y="317896"/>
          <a:ext cx="596502" cy="597074"/>
        </a:xfrm>
        <a:prstGeom prst="rect">
          <a:avLst/>
        </a:prstGeom>
      </xdr:spPr>
    </xdr:pic>
    <xdr:clientData/>
  </xdr:twoCellAnchor>
  <xdr:twoCellAnchor>
    <xdr:from>
      <xdr:col>3</xdr:col>
      <xdr:colOff>348155</xdr:colOff>
      <xdr:row>2</xdr:row>
      <xdr:rowOff>5104</xdr:rowOff>
    </xdr:from>
    <xdr:to>
      <xdr:col>3</xdr:col>
      <xdr:colOff>348155</xdr:colOff>
      <xdr:row>5</xdr:row>
      <xdr:rowOff>18242</xdr:rowOff>
    </xdr:to>
    <xdr:cxnSp macro="">
      <xdr:nvCxnSpPr>
        <xdr:cNvPr id="20" name="Straight Connector 19">
          <a:extLst>
            <a:ext uri="{FF2B5EF4-FFF2-40B4-BE49-F238E27FC236}">
              <a16:creationId xmlns:a16="http://schemas.microsoft.com/office/drawing/2014/main" id="{FA27C006-9B1F-0F33-4711-C06303A9E193}"/>
            </a:ext>
          </a:extLst>
        </xdr:cNvPr>
        <xdr:cNvCxnSpPr/>
      </xdr:nvCxnSpPr>
      <xdr:spPr>
        <a:xfrm>
          <a:off x="2405555" y="367054"/>
          <a:ext cx="0" cy="556063"/>
        </a:xfrm>
        <a:prstGeom prst="line">
          <a:avLst/>
        </a:prstGeom>
        <a:ln w="28575">
          <a:solidFill>
            <a:schemeClr val="bg1">
              <a:lumMod val="65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194289</xdr:colOff>
      <xdr:row>2</xdr:row>
      <xdr:rowOff>6203</xdr:rowOff>
    </xdr:from>
    <xdr:to>
      <xdr:col>7</xdr:col>
      <xdr:colOff>194289</xdr:colOff>
      <xdr:row>5</xdr:row>
      <xdr:rowOff>17143</xdr:rowOff>
    </xdr:to>
    <xdr:cxnSp macro="">
      <xdr:nvCxnSpPr>
        <xdr:cNvPr id="38" name="Straight Connector 37">
          <a:extLst>
            <a:ext uri="{FF2B5EF4-FFF2-40B4-BE49-F238E27FC236}">
              <a16:creationId xmlns:a16="http://schemas.microsoft.com/office/drawing/2014/main" id="{E824FFCC-0084-AE7E-82DA-AF1C2A840977}"/>
            </a:ext>
          </a:extLst>
        </xdr:cNvPr>
        <xdr:cNvCxnSpPr/>
      </xdr:nvCxnSpPr>
      <xdr:spPr>
        <a:xfrm>
          <a:off x="4994889" y="368153"/>
          <a:ext cx="0" cy="553865"/>
        </a:xfrm>
        <a:prstGeom prst="line">
          <a:avLst/>
        </a:prstGeom>
        <a:ln w="28575">
          <a:solidFill>
            <a:schemeClr val="bg1">
              <a:lumMod val="65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553308</xdr:colOff>
      <xdr:row>2</xdr:row>
      <xdr:rowOff>6203</xdr:rowOff>
    </xdr:from>
    <xdr:to>
      <xdr:col>10</xdr:col>
      <xdr:colOff>553308</xdr:colOff>
      <xdr:row>5</xdr:row>
      <xdr:rowOff>17143</xdr:rowOff>
    </xdr:to>
    <xdr:cxnSp macro="">
      <xdr:nvCxnSpPr>
        <xdr:cNvPr id="39" name="Straight Connector 38">
          <a:extLst>
            <a:ext uri="{FF2B5EF4-FFF2-40B4-BE49-F238E27FC236}">
              <a16:creationId xmlns:a16="http://schemas.microsoft.com/office/drawing/2014/main" id="{781E8018-86DC-9699-62B8-0E93AF95C917}"/>
            </a:ext>
          </a:extLst>
        </xdr:cNvPr>
        <xdr:cNvCxnSpPr/>
      </xdr:nvCxnSpPr>
      <xdr:spPr>
        <a:xfrm>
          <a:off x="7411308" y="368153"/>
          <a:ext cx="0" cy="553865"/>
        </a:xfrm>
        <a:prstGeom prst="line">
          <a:avLst/>
        </a:prstGeom>
        <a:ln w="28575">
          <a:solidFill>
            <a:schemeClr val="bg1">
              <a:lumMod val="65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200883</xdr:colOff>
      <xdr:row>2</xdr:row>
      <xdr:rowOff>6203</xdr:rowOff>
    </xdr:from>
    <xdr:to>
      <xdr:col>14</xdr:col>
      <xdr:colOff>200883</xdr:colOff>
      <xdr:row>5</xdr:row>
      <xdr:rowOff>17143</xdr:rowOff>
    </xdr:to>
    <xdr:cxnSp macro="">
      <xdr:nvCxnSpPr>
        <xdr:cNvPr id="41" name="Straight Connector 40">
          <a:extLst>
            <a:ext uri="{FF2B5EF4-FFF2-40B4-BE49-F238E27FC236}">
              <a16:creationId xmlns:a16="http://schemas.microsoft.com/office/drawing/2014/main" id="{AC992829-CC78-4087-EE2C-018A7F86A833}"/>
            </a:ext>
          </a:extLst>
        </xdr:cNvPr>
        <xdr:cNvCxnSpPr/>
      </xdr:nvCxnSpPr>
      <xdr:spPr>
        <a:xfrm>
          <a:off x="9802083" y="368153"/>
          <a:ext cx="0" cy="553865"/>
        </a:xfrm>
        <a:prstGeom prst="line">
          <a:avLst/>
        </a:prstGeom>
        <a:ln w="28575">
          <a:solidFill>
            <a:schemeClr val="bg1">
              <a:lumMod val="65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14</xdr:col>
      <xdr:colOff>374205</xdr:colOff>
      <xdr:row>2</xdr:row>
      <xdr:rowOff>33503</xdr:rowOff>
    </xdr:from>
    <xdr:to>
      <xdr:col>15</xdr:col>
      <xdr:colOff>226403</xdr:colOff>
      <xdr:row>5</xdr:row>
      <xdr:rowOff>28576</xdr:rowOff>
    </xdr:to>
    <xdr:pic>
      <xdr:nvPicPr>
        <xdr:cNvPr id="59" name="Graphic 58" descr="Bar chart with solid fill">
          <a:extLst>
            <a:ext uri="{FF2B5EF4-FFF2-40B4-BE49-F238E27FC236}">
              <a16:creationId xmlns:a16="http://schemas.microsoft.com/office/drawing/2014/main" id="{1C780764-33F6-B60D-3786-436A35F0283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975405" y="395453"/>
          <a:ext cx="537998" cy="537998"/>
        </a:xfrm>
        <a:prstGeom prst="rect">
          <a:avLst/>
        </a:prstGeom>
      </xdr:spPr>
    </xdr:pic>
    <xdr:clientData/>
  </xdr:twoCellAnchor>
  <xdr:twoCellAnchor editAs="oneCell">
    <xdr:from>
      <xdr:col>0</xdr:col>
      <xdr:colOff>201706</xdr:colOff>
      <xdr:row>23</xdr:row>
      <xdr:rowOff>145676</xdr:rowOff>
    </xdr:from>
    <xdr:to>
      <xdr:col>2</xdr:col>
      <xdr:colOff>11205</xdr:colOff>
      <xdr:row>29</xdr:row>
      <xdr:rowOff>143613</xdr:rowOff>
    </xdr:to>
    <xdr:pic>
      <xdr:nvPicPr>
        <xdr:cNvPr id="67" name="Picture 66">
          <a:hlinkClick xmlns:r="http://schemas.openxmlformats.org/officeDocument/2006/relationships" r:id="rId18"/>
          <a:extLst>
            <a:ext uri="{FF2B5EF4-FFF2-40B4-BE49-F238E27FC236}">
              <a16:creationId xmlns:a16="http://schemas.microsoft.com/office/drawing/2014/main" id="{A16C951C-11C8-4E76-992C-F170F702BA0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1706" y="4269441"/>
          <a:ext cx="1176617" cy="1073701"/>
        </a:xfrm>
        <a:prstGeom prst="rect">
          <a:avLst/>
        </a:prstGeom>
      </xdr:spPr>
    </xdr:pic>
    <xdr:clientData/>
  </xdr:twoCellAnchor>
  <xdr:twoCellAnchor>
    <xdr:from>
      <xdr:col>0</xdr:col>
      <xdr:colOff>28575</xdr:colOff>
      <xdr:row>5</xdr:row>
      <xdr:rowOff>47625</xdr:rowOff>
    </xdr:from>
    <xdr:to>
      <xdr:col>18</xdr:col>
      <xdr:colOff>180975</xdr:colOff>
      <xdr:row>5</xdr:row>
      <xdr:rowOff>47625</xdr:rowOff>
    </xdr:to>
    <xdr:cxnSp macro="">
      <xdr:nvCxnSpPr>
        <xdr:cNvPr id="69" name="Straight Connector 68">
          <a:extLst>
            <a:ext uri="{FF2B5EF4-FFF2-40B4-BE49-F238E27FC236}">
              <a16:creationId xmlns:a16="http://schemas.microsoft.com/office/drawing/2014/main" id="{84ADB750-D84A-5A61-85E8-9DA88DB2716D}"/>
            </a:ext>
          </a:extLst>
        </xdr:cNvPr>
        <xdr:cNvCxnSpPr/>
      </xdr:nvCxnSpPr>
      <xdr:spPr>
        <a:xfrm>
          <a:off x="28575" y="952500"/>
          <a:ext cx="12496800" cy="0"/>
        </a:xfrm>
        <a:prstGeom prst="line">
          <a:avLst/>
        </a:prstGeom>
      </xdr:spPr>
      <xdr:style>
        <a:lnRef idx="2">
          <a:schemeClr val="accent2"/>
        </a:lnRef>
        <a:fillRef idx="0">
          <a:schemeClr val="accent2"/>
        </a:fillRef>
        <a:effectRef idx="1">
          <a:schemeClr val="accent2"/>
        </a:effectRef>
        <a:fontRef idx="minor">
          <a:schemeClr val="tx1"/>
        </a:fontRef>
      </xdr:style>
    </xdr:cxnSp>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465046298" backgroundQuery="1" createdVersion="8" refreshedVersion="8" minRefreshableVersion="3" recordCount="0" supportSubquery="1" supportAdvancedDrill="1" xr:uid="{FC4C7E62-76FF-48BF-BDC7-7A47B13FCF71}">
  <cacheSource type="external" connectionId="2"/>
  <cacheFields count="3">
    <cacheField name="[Sheet1].[pizza_size].[pizza_size]" caption="pizza_size" numFmtId="0" hierarchy="8" level="1">
      <sharedItems count="4">
        <s v="L"/>
        <s v="M"/>
        <s v="S"/>
        <s v="XL"/>
      </sharedItems>
    </cacheField>
    <cacheField name="[Measures].[Sum of quantity]" caption="Sum of quantity" numFmtId="0" hierarchy="18" level="32767"/>
    <cacheField name="[Sheet1].[order_date (Month)].[order_date (Month)]" caption="order_date (Month)" numFmtId="0" hierarchy="12"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0"/>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fieldsUsage count="2">
        <fieldUsage x="-1"/>
        <fieldUsage x="2"/>
      </fieldsUsage>
    </cacheHierarchy>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1"/>
      </fieldsUsage>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465624998" backgroundQuery="1" createdVersion="8" refreshedVersion="8" minRefreshableVersion="3" recordCount="0" supportSubquery="1" supportAdvancedDrill="1" xr:uid="{6CD81AEE-E4FD-4611-814B-6D90DD77B5A5}">
  <cacheSource type="external" connectionId="2"/>
  <cacheFields count="3">
    <cacheField name="[Sheet1].[pizza_size].[pizza_size]" caption="pizza_size" numFmtId="0" hierarchy="8" level="1">
      <sharedItems count="4">
        <s v="L"/>
        <s v="M"/>
        <s v="S"/>
        <s v="XL"/>
      </sharedItems>
    </cacheField>
    <cacheField name="[Measures].[Sum of total_price]" caption="Sum of total_price" numFmtId="0" hierarchy="17" level="32767"/>
    <cacheField name="[Sheet1].[order_date (Month)].[order_date (Month)]" caption="order_date (Month)" numFmtId="0" hierarchy="12"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0"/>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fieldsUsage count="2">
        <fieldUsage x="-1"/>
        <fieldUsage x="2"/>
      </fieldsUsage>
    </cacheHierarchy>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5462966" backgroundQuery="1" createdVersion="8" refreshedVersion="8" minRefreshableVersion="3" recordCount="0" supportSubquery="1" supportAdvancedDrill="1" xr:uid="{F18CF218-D5CB-4EF4-A22F-AD45DD352522}">
  <cacheSource type="external" connectionId="2"/>
  <cacheFields count="4">
    <cacheField name="[Sheet1].[order_date].[order_date]" caption="order_date" numFmtId="0" hierarchy="4" level="1">
      <sharedItems containsSemiMixedTypes="0" containsNonDate="0" containsDate="1" containsString="0" minDate="2015-02-01T00:00:00" maxDate="2015-03-01T00:00:00" count="19">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sharedItems>
    </cacheField>
    <cacheField name="[Sheet1].[order_date (Month)].[order_date (Month)]" caption="order_date (Month)" numFmtId="0" hierarchy="12" level="1">
      <sharedItems count="12">
        <s v="يناير"/>
        <s v="فبراير"/>
        <s v="مارس"/>
        <s v="أبريل"/>
        <s v="مايو"/>
        <s v="يونيو"/>
        <s v="يوليو"/>
        <s v="أغسطس"/>
        <s v="سبتمبر"/>
        <s v="أكتوبر"/>
        <s v="نوفمبر"/>
        <s v="ديسمبر"/>
      </sharedItems>
    </cacheField>
    <cacheField name="[Measures].[Sum of total_price]" caption="Sum of total_price" numFmtId="0" hierarchy="17"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2" memberValueDatatype="7" unbalanced="0">
      <fieldsUsage count="2">
        <fieldUsage x="-1"/>
        <fieldUsage x="0"/>
      </fieldsUsage>
    </cacheHierarchy>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3"/>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fieldsUsage count="2">
        <fieldUsage x="-1"/>
        <fieldUsage x="1"/>
      </fieldsUsage>
    </cacheHierarchy>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2"/>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5810182" backgroundQuery="1" createdVersion="8" refreshedVersion="8" minRefreshableVersion="3" recordCount="0" supportSubquery="1" supportAdvancedDrill="1" xr:uid="{B674785E-73B3-4DEF-81A1-2A98A3DD0CE7}">
  <cacheSource type="external" connectionId="2"/>
  <cacheFields count="6">
    <cacheField name="[Measures].[Total customers]" caption="Total customers" numFmtId="0" hierarchy="19" level="32767"/>
    <cacheField name="[Measures].[Total sales]" caption="Total sales" numFmtId="0" hierarchy="20" level="32767"/>
    <cacheField name="[Measures].[Total Quantity]" caption="Total Quantity" numFmtId="0" hierarchy="22" level="32767"/>
    <cacheField name="[Measures].[sales per customer]" caption="sales per customer" numFmtId="0" hierarchy="23" level="32767"/>
    <cacheField name="[Measures].[sales per quantity]" caption="sales per quantity" numFmtId="0" hierarchy="24"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5"/>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oneField="1">
      <fieldsUsage count="1">
        <fieldUsage x="0"/>
      </fieldsUsage>
    </cacheHierarchy>
    <cacheHierarchy uniqueName="[Measures].[Total sales]" caption="Total sales" measure="1" displayFolder="" measureGroup="Sheet1" count="0" oneField="1">
      <fieldsUsage count="1">
        <fieldUsage x="1"/>
      </fieldsUsage>
    </cacheHierarchy>
    <cacheHierarchy uniqueName="[Measures].[Avg price per unit]" caption="Avg price per unit" measure="1" displayFolder="" measureGroup="Sheet1" count="0"/>
    <cacheHierarchy uniqueName="[Measures].[Total Quantity]" caption="Total Quantity" measure="1" displayFolder="" measureGroup="Sheet1" count="0" oneField="1">
      <fieldsUsage count="1">
        <fieldUsage x="2"/>
      </fieldsUsage>
    </cacheHierarchy>
    <cacheHierarchy uniqueName="[Measures].[sales per customer]" caption="sales per customer" measure="1" displayFolder="" measureGroup="Sheet1" count="0" oneField="1">
      <fieldsUsage count="1">
        <fieldUsage x="3"/>
      </fieldsUsage>
    </cacheHierarchy>
    <cacheHierarchy uniqueName="[Measures].[sales per quantity]" caption="sales per quantity" measure="1" displayFolder="" measureGroup="Sheet1" count="0" oneField="1">
      <fieldsUsage count="1">
        <fieldUsage x="4"/>
      </fieldsUsage>
    </cacheHierarchy>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6273151" backgroundQuery="1" createdVersion="8" refreshedVersion="8" minRefreshableVersion="3" recordCount="0" supportSubquery="1" supportAdvancedDrill="1" xr:uid="{85969DDC-5CBA-4101-A31F-593312AEFCDD}">
  <cacheSource type="external" connectionId="2"/>
  <cacheFields count="3">
    <cacheField name="[Sheet1].[pizza_size].[pizza_size]" caption="pizza_size" numFmtId="0" hierarchy="8" level="1">
      <sharedItems count="4">
        <s v="L"/>
        <s v="M"/>
        <s v="S"/>
        <s v="XL"/>
      </sharedItems>
    </cacheField>
    <cacheField name="[Sheet1].[pizza_category].[pizza_category]" caption="pizza_category" numFmtId="0" hierarchy="9" level="1">
      <sharedItems count="4">
        <s v="Chicken"/>
        <s v="Classic"/>
        <s v="Supreme"/>
        <s v="Veggie"/>
      </sharedItems>
    </cacheField>
    <cacheField name="[Measures].[Sum of quantity]" caption="Sum of quantity" numFmtId="0" hierarchy="18" level="32767"/>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0"/>
      </fieldsUsage>
    </cacheHierarchy>
    <cacheHierarchy uniqueName="[Sheet1].[pizza_category]" caption="pizza_category" attribute="1" defaultMemberUniqueName="[Sheet1].[pizza_category].[All]" allUniqueName="[Sheet1].[pizza_category].[All]" dimensionUniqueName="[Sheet1]" displayFolder="" count="2" memberValueDatatype="130" unbalanced="0">
      <fieldsUsage count="2">
        <fieldUsage x="-1"/>
        <fieldUsage x="1"/>
      </fieldsUsage>
    </cacheHierarchy>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2"/>
      </fieldsUsage>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6851852" backgroundQuery="1" createdVersion="8" refreshedVersion="8" minRefreshableVersion="3" recordCount="0" supportSubquery="1" supportAdvancedDrill="1" xr:uid="{A3C0352D-CA3A-4C4E-ACBE-4A1CBD134DD1}">
  <cacheSource type="external" connectionId="2"/>
  <cacheFields count="4">
    <cacheField name="[Sheet1].[order_time].[order_time]" caption="order_time" numFmtId="0" hierarchy="5" level="1">
      <sharedItems containsSemiMixedTypes="0" containsNonDate="0" containsDate="1" containsString="0" minDate="1899-12-30T11:17:26" maxDate="1899-12-30T23:05:17" count="485">
        <d v="1899-12-30T11:17:26"/>
        <d v="1899-12-30T11:25:39"/>
        <d v="1899-12-30T11:26:16"/>
        <d v="1899-12-30T11:30:24"/>
        <d v="1899-12-30T11:32:11"/>
        <d v="1899-12-30T11:37:09"/>
        <d v="1899-12-30T11:37:40"/>
        <d v="1899-12-30T11:38:00"/>
        <d v="1899-12-30T11:42:50"/>
        <d v="1899-12-30T11:43:20"/>
        <d v="1899-12-30T11:43:47"/>
        <d v="1899-12-30T11:45:00"/>
        <d v="1899-12-30T11:46:08"/>
        <d v="1899-12-30T11:46:24"/>
        <d v="1899-12-30T11:47:45"/>
        <d v="1899-12-30T11:48:24"/>
        <d v="1899-12-30T11:50:01"/>
        <d v="1899-12-30T11:52:13"/>
        <d v="1899-12-30T11:54:51"/>
        <d v="1899-12-30T11:56:03"/>
        <d v="1899-12-30T11:57:15"/>
        <d v="1899-12-30T11:57:17"/>
        <d v="1899-12-30T11:57:33"/>
        <d v="1899-12-30T11:57:40"/>
        <d v="1899-12-30T11:58:58"/>
        <d v="1899-12-30T12:01:11"/>
        <d v="1899-12-30T12:01:23"/>
        <d v="1899-12-30T12:03:35"/>
        <d v="1899-12-30T12:06:00"/>
        <d v="1899-12-30T12:08:28"/>
        <d v="1899-12-30T12:08:51"/>
        <d v="1899-12-30T12:10:20"/>
        <d v="1899-12-30T12:13:25"/>
        <d v="1899-12-30T12:14:51"/>
        <d v="1899-12-30T12:14:53"/>
        <d v="1899-12-30T12:15:57"/>
        <d v="1899-12-30T12:16:01"/>
        <d v="1899-12-30T12:16:39"/>
        <d v="1899-12-30T12:17:25"/>
        <d v="1899-12-30T12:17:37"/>
        <d v="1899-12-30T12:18:57"/>
        <d v="1899-12-30T12:20:31"/>
        <d v="1899-12-30T12:20:46"/>
        <d v="1899-12-30T12:21:06"/>
        <d v="1899-12-30T12:27:17"/>
        <d v="1899-12-30T12:27:27"/>
        <d v="1899-12-30T12:30:09"/>
        <d v="1899-12-30T12:30:24"/>
        <d v="1899-12-30T12:31:03"/>
        <d v="1899-12-30T12:32:00"/>
        <d v="1899-12-30T12:32:04"/>
        <d v="1899-12-30T12:32:10"/>
        <d v="1899-12-30T12:35:19"/>
        <d v="1899-12-30T12:36:47"/>
        <d v="1899-12-30T12:36:58"/>
        <d v="1899-12-30T12:37:25"/>
        <d v="1899-12-30T12:38:07"/>
        <d v="1899-12-30T12:38:11"/>
        <d v="1899-12-30T12:38:38"/>
        <d v="1899-12-30T12:38:49"/>
        <d v="1899-12-30T12:39:14"/>
        <d v="1899-12-30T12:39:43"/>
        <d v="1899-12-30T12:40:39"/>
        <d v="1899-12-30T12:42:07"/>
        <d v="1899-12-30T12:43:20"/>
        <d v="1899-12-30T12:43:48"/>
        <d v="1899-12-30T12:43:50"/>
        <d v="1899-12-30T12:44:22"/>
        <d v="1899-12-30T12:45:11"/>
        <d v="1899-12-30T12:48:15"/>
        <d v="1899-12-30T12:48:46"/>
        <d v="1899-12-30T12:53:15"/>
        <d v="1899-12-30T12:53:24"/>
        <d v="1899-12-30T12:53:57"/>
        <d v="1899-12-30T12:54:00"/>
        <d v="1899-12-30T12:54:04"/>
        <d v="1899-12-30T12:54:56"/>
        <d v="1899-12-30T12:59:26"/>
        <d v="1899-12-30T12:59:37"/>
        <d v="1899-12-30T13:00:34"/>
        <d v="1899-12-30T13:00:48"/>
        <d v="1899-12-30T13:01:46"/>
        <d v="1899-12-30T13:02:59"/>
        <d v="1899-12-30T13:04:17"/>
        <d v="1899-12-30T13:04:34"/>
        <d v="1899-12-30T13:05:32"/>
        <d v="1899-12-30T13:07:12"/>
        <d v="1899-12-30T13:07:44"/>
        <d v="1899-12-30T13:10:00"/>
        <d v="1899-12-30T13:11:19"/>
        <d v="1899-12-30T13:11:52"/>
        <d v="1899-12-30T13:13:42"/>
        <d v="1899-12-30T13:13:54"/>
        <d v="1899-12-30T13:14:51"/>
        <d v="1899-12-30T13:15:15"/>
        <d v="1899-12-30T13:17:26"/>
        <d v="1899-12-30T13:21:45"/>
        <d v="1899-12-30T13:23:29"/>
        <d v="1899-12-30T13:25:16"/>
        <d v="1899-12-30T13:25:59"/>
        <d v="1899-12-30T13:26:21"/>
        <d v="1899-12-30T13:28:23"/>
        <d v="1899-12-30T13:30:42"/>
        <d v="1899-12-30T13:31:13"/>
        <d v="1899-12-30T13:32:00"/>
        <d v="1899-12-30T13:32:04"/>
        <d v="1899-12-30T13:33:16"/>
        <d v="1899-12-30T13:34:43"/>
        <d v="1899-12-30T13:35:09"/>
        <d v="1899-12-30T13:35:53"/>
        <d v="1899-12-30T13:36:07"/>
        <d v="1899-12-30T13:36:24"/>
        <d v="1899-12-30T13:36:52"/>
        <d v="1899-12-30T13:36:53"/>
        <d v="1899-12-30T13:38:50"/>
        <d v="1899-12-30T13:42:12"/>
        <d v="1899-12-30T13:43:47"/>
        <d v="1899-12-30T13:44:56"/>
        <d v="1899-12-30T13:46:36"/>
        <d v="1899-12-30T13:46:55"/>
        <d v="1899-12-30T13:47:06"/>
        <d v="1899-12-30T13:47:53"/>
        <d v="1899-12-30T13:48:00"/>
        <d v="1899-12-30T13:48:02"/>
        <d v="1899-12-30T13:51:02"/>
        <d v="1899-12-30T13:51:14"/>
        <d v="1899-12-30T13:52:28"/>
        <d v="1899-12-30T13:55:33"/>
        <d v="1899-12-30T13:56:42"/>
        <d v="1899-12-30T13:57:38"/>
        <d v="1899-12-30T13:58:34"/>
        <d v="1899-12-30T13:58:42"/>
        <d v="1899-12-30T14:00:40"/>
        <d v="1899-12-30T14:01:18"/>
        <d v="1899-12-30T14:03:08"/>
        <d v="1899-12-30T14:03:41"/>
        <d v="1899-12-30T14:03:48"/>
        <d v="1899-12-30T14:05:48"/>
        <d v="1899-12-30T14:07:56"/>
        <d v="1899-12-30T14:11:00"/>
        <d v="1899-12-30T14:12:12"/>
        <d v="1899-12-30T14:13:17"/>
        <d v="1899-12-30T14:15:34"/>
        <d v="1899-12-30T14:16:12"/>
        <d v="1899-12-30T14:16:57"/>
        <d v="1899-12-30T14:18:20"/>
        <d v="1899-12-30T14:22:19"/>
        <d v="1899-12-30T14:22:55"/>
        <d v="1899-12-30T14:28:10"/>
        <d v="1899-12-30T14:29:04"/>
        <d v="1899-12-30T14:29:23"/>
        <d v="1899-12-30T14:29:44"/>
        <d v="1899-12-30T14:32:31"/>
        <d v="1899-12-30T14:33:19"/>
        <d v="1899-12-30T14:35:47"/>
        <d v="1899-12-30T14:36:31"/>
        <d v="1899-12-30T14:37:19"/>
        <d v="1899-12-30T14:38:31"/>
        <d v="1899-12-30T14:39:18"/>
        <d v="1899-12-30T14:42:38"/>
        <d v="1899-12-30T14:45:52"/>
        <d v="1899-12-30T14:46:12"/>
        <d v="1899-12-30T14:48:02"/>
        <d v="1899-12-30T14:49:28"/>
        <d v="1899-12-30T14:50:58"/>
        <d v="1899-12-30T14:55:06"/>
        <d v="1899-12-30T14:56:09"/>
        <d v="1899-12-30T14:56:38"/>
        <d v="1899-12-30T14:57:58"/>
        <d v="1899-12-30T14:59:17"/>
        <d v="1899-12-30T15:01:39"/>
        <d v="1899-12-30T15:02:25"/>
        <d v="1899-12-30T15:05:02"/>
        <d v="1899-12-30T15:05:04"/>
        <d v="1899-12-30T15:06:07"/>
        <d v="1899-12-30T15:07:49"/>
        <d v="1899-12-30T15:10:48"/>
        <d v="1899-12-30T15:10:57"/>
        <d v="1899-12-30T15:12:34"/>
        <d v="1899-12-30T15:15:49"/>
        <d v="1899-12-30T15:18:26"/>
        <d v="1899-12-30T15:18:33"/>
        <d v="1899-12-30T15:23:43"/>
        <d v="1899-12-30T15:23:51"/>
        <d v="1899-12-30T15:26:15"/>
        <d v="1899-12-30T15:28:38"/>
        <d v="1899-12-30T15:28:45"/>
        <d v="1899-12-30T15:33:13"/>
        <d v="1899-12-30T15:37:01"/>
        <d v="1899-12-30T15:37:51"/>
        <d v="1899-12-30T15:38:08"/>
        <d v="1899-12-30T15:38:22"/>
        <d v="1899-12-30T15:39:31"/>
        <d v="1899-12-30T15:40:17"/>
        <d v="1899-12-30T15:43:57"/>
        <d v="1899-12-30T15:45:30"/>
        <d v="1899-12-30T15:47:06"/>
        <d v="1899-12-30T15:52:38"/>
        <d v="1899-12-30T15:54:56"/>
        <d v="1899-12-30T15:57:09"/>
        <d v="1899-12-30T15:59:30"/>
        <d v="1899-12-30T15:59:32"/>
        <d v="1899-12-30T16:00:44"/>
        <d v="1899-12-30T16:03:27"/>
        <d v="1899-12-30T16:03:29"/>
        <d v="1899-12-30T16:05:24"/>
        <d v="1899-12-30T16:07:09"/>
        <d v="1899-12-30T16:07:22"/>
        <d v="1899-12-30T16:11:26"/>
        <d v="1899-12-30T16:14:12"/>
        <d v="1899-12-30T16:14:14"/>
        <d v="1899-12-30T16:14:59"/>
        <d v="1899-12-30T16:15:21"/>
        <d v="1899-12-30T16:15:40"/>
        <d v="1899-12-30T16:19:30"/>
        <d v="1899-12-30T16:19:50"/>
        <d v="1899-12-30T16:20:23"/>
        <d v="1899-12-30T16:22:20"/>
        <d v="1899-12-30T16:24:57"/>
        <d v="1899-12-30T16:25:52"/>
        <d v="1899-12-30T16:26:04"/>
        <d v="1899-12-30T16:26:05"/>
        <d v="1899-12-30T16:26:34"/>
        <d v="1899-12-30T16:28:24"/>
        <d v="1899-12-30T16:31:58"/>
        <d v="1899-12-30T16:33:13"/>
        <d v="1899-12-30T16:38:07"/>
        <d v="1899-12-30T16:41:57"/>
        <d v="1899-12-30T16:44:16"/>
        <d v="1899-12-30T16:44:33"/>
        <d v="1899-12-30T16:45:11"/>
        <d v="1899-12-30T16:46:22"/>
        <d v="1899-12-30T16:47:30"/>
        <d v="1899-12-30T16:47:39"/>
        <d v="1899-12-30T16:49:52"/>
        <d v="1899-12-30T16:51:04"/>
        <d v="1899-12-30T16:52:04"/>
        <d v="1899-12-30T16:52:56"/>
        <d v="1899-12-30T16:53:57"/>
        <d v="1899-12-30T16:55:19"/>
        <d v="1899-12-30T16:56:04"/>
        <d v="1899-12-30T16:57:08"/>
        <d v="1899-12-30T16:59:08"/>
        <d v="1899-12-30T17:01:18"/>
        <d v="1899-12-30T17:01:55"/>
        <d v="1899-12-30T17:02:16"/>
        <d v="1899-12-30T17:02:20"/>
        <d v="1899-12-30T17:05:25"/>
        <d v="1899-12-30T17:07:10"/>
        <d v="1899-12-30T17:08:13"/>
        <d v="1899-12-30T17:09:15"/>
        <d v="1899-12-30T17:09:42"/>
        <d v="1899-12-30T17:12:16"/>
        <d v="1899-12-30T17:12:23"/>
        <d v="1899-12-30T17:13:15"/>
        <d v="1899-12-30T17:13:50"/>
        <d v="1899-12-30T17:14:03"/>
        <d v="1899-12-30T17:14:48"/>
        <d v="1899-12-30T17:18:23"/>
        <d v="1899-12-30T17:19:00"/>
        <d v="1899-12-30T17:19:05"/>
        <d v="1899-12-30T17:19:56"/>
        <d v="1899-12-30T17:20:28"/>
        <d v="1899-12-30T17:21:38"/>
        <d v="1899-12-30T17:21:55"/>
        <d v="1899-12-30T17:22:04"/>
        <d v="1899-12-30T17:22:15"/>
        <d v="1899-12-30T17:22:30"/>
        <d v="1899-12-30T17:24:24"/>
        <d v="1899-12-30T17:25:58"/>
        <d v="1899-12-30T17:26:15"/>
        <d v="1899-12-30T17:27:11"/>
        <d v="1899-12-30T17:27:14"/>
        <d v="1899-12-30T17:28:19"/>
        <d v="1899-12-30T17:28:26"/>
        <d v="1899-12-30T17:29:08"/>
        <d v="1899-12-30T17:29:20"/>
        <d v="1899-12-30T17:30:25"/>
        <d v="1899-12-30T17:30:54"/>
        <d v="1899-12-30T17:33:53"/>
        <d v="1899-12-30T17:34:01"/>
        <d v="1899-12-30T17:34:06"/>
        <d v="1899-12-30T17:34:41"/>
        <d v="1899-12-30T17:35:35"/>
        <d v="1899-12-30T17:35:41"/>
        <d v="1899-12-30T17:36:02"/>
        <d v="1899-12-30T17:37:11"/>
        <d v="1899-12-30T17:37:41"/>
        <d v="1899-12-30T17:38:20"/>
        <d v="1899-12-30T17:38:35"/>
        <d v="1899-12-30T17:39:42"/>
        <d v="1899-12-30T17:40:41"/>
        <d v="1899-12-30T17:45:17"/>
        <d v="1899-12-30T17:46:56"/>
        <d v="1899-12-30T17:47:12"/>
        <d v="1899-12-30T17:47:42"/>
        <d v="1899-12-30T17:48:05"/>
        <d v="1899-12-30T17:48:48"/>
        <d v="1899-12-30T17:49:28"/>
        <d v="1899-12-30T17:50:26"/>
        <d v="1899-12-30T17:52:09"/>
        <d v="1899-12-30T17:52:54"/>
        <d v="1899-12-30T17:52:59"/>
        <d v="1899-12-30T17:54:30"/>
        <d v="1899-12-30T17:55:42"/>
        <d v="1899-12-30T17:56:52"/>
        <d v="1899-12-30T17:57:15"/>
        <d v="1899-12-30T17:57:18"/>
        <d v="1899-12-30T17:57:21"/>
        <d v="1899-12-30T17:57:55"/>
        <d v="1899-12-30T17:58:19"/>
        <d v="1899-12-30T17:59:03"/>
        <d v="1899-12-30T17:59:04"/>
        <d v="1899-12-30T18:00:07"/>
        <d v="1899-12-30T18:00:30"/>
        <d v="1899-12-30T18:00:37"/>
        <d v="1899-12-30T18:03:39"/>
        <d v="1899-12-30T18:04:57"/>
        <d v="1899-12-30T18:05:09"/>
        <d v="1899-12-30T18:05:47"/>
        <d v="1899-12-30T18:06:31"/>
        <d v="1899-12-30T18:09:07"/>
        <d v="1899-12-30T18:09:09"/>
        <d v="1899-12-30T18:10:33"/>
        <d v="1899-12-30T18:10:49"/>
        <d v="1899-12-30T18:10:50"/>
        <d v="1899-12-30T18:11:03"/>
        <d v="1899-12-30T18:12:37"/>
        <d v="1899-12-30T18:16:29"/>
        <d v="1899-12-30T18:16:47"/>
        <d v="1899-12-30T18:17:16"/>
        <d v="1899-12-30T18:17:40"/>
        <d v="1899-12-30T18:19:00"/>
        <d v="1899-12-30T18:19:19"/>
        <d v="1899-12-30T18:19:24"/>
        <d v="1899-12-30T18:20:11"/>
        <d v="1899-12-30T18:21:24"/>
        <d v="1899-12-30T18:21:27"/>
        <d v="1899-12-30T18:21:38"/>
        <d v="1899-12-30T18:21:44"/>
        <d v="1899-12-30T18:26:41"/>
        <d v="1899-12-30T18:29:04"/>
        <d v="1899-12-30T18:30:00"/>
        <d v="1899-12-30T18:31:11"/>
        <d v="1899-12-30T18:31:36"/>
        <d v="1899-12-30T18:32:33"/>
        <d v="1899-12-30T18:32:48"/>
        <d v="1899-12-30T18:33:59"/>
        <d v="1899-12-30T18:34:38"/>
        <d v="1899-12-30T18:35:20"/>
        <d v="1899-12-30T18:37:07"/>
        <d v="1899-12-30T18:37:08"/>
        <d v="1899-12-30T18:38:00"/>
        <d v="1899-12-30T18:40:57"/>
        <d v="1899-12-30T18:41:54"/>
        <d v="1899-12-30T18:42:25"/>
        <d v="1899-12-30T18:44:02"/>
        <d v="1899-12-30T18:45:28"/>
        <d v="1899-12-30T18:45:53"/>
        <d v="1899-12-30T18:50:51"/>
        <d v="1899-12-30T18:52:41"/>
        <d v="1899-12-30T18:53:30"/>
        <d v="1899-12-30T18:54:29"/>
        <d v="1899-12-30T18:55:19"/>
        <d v="1899-12-30T18:56:26"/>
        <d v="1899-12-30T18:58:20"/>
        <d v="1899-12-30T18:58:28"/>
        <d v="1899-12-30T19:01:22"/>
        <d v="1899-12-30T19:02:27"/>
        <d v="1899-12-30T19:02:37"/>
        <d v="1899-12-30T19:03:46"/>
        <d v="1899-12-30T19:03:59"/>
        <d v="1899-12-30T19:04:35"/>
        <d v="1899-12-30T19:06:46"/>
        <d v="1899-12-30T19:06:59"/>
        <d v="1899-12-30T19:08:13"/>
        <d v="1899-12-30T19:08:27"/>
        <d v="1899-12-30T19:09:56"/>
        <d v="1899-12-30T19:10:02"/>
        <d v="1899-12-30T19:10:52"/>
        <d v="1899-12-30T19:12:14"/>
        <d v="1899-12-30T19:13:05"/>
        <d v="1899-12-30T19:15:37"/>
        <d v="1899-12-30T19:15:54"/>
        <d v="1899-12-30T19:20:35"/>
        <d v="1899-12-30T19:22:07"/>
        <d v="1899-12-30T19:22:17"/>
        <d v="1899-12-30T19:23:32"/>
        <d v="1899-12-30T19:24:05"/>
        <d v="1899-12-30T19:25:04"/>
        <d v="1899-12-30T19:26:11"/>
        <d v="1899-12-30T19:26:46"/>
        <d v="1899-12-30T19:28:51"/>
        <d v="1899-12-30T19:28:53"/>
        <d v="1899-12-30T19:29:17"/>
        <d v="1899-12-30T19:30:12"/>
        <d v="1899-12-30T19:30:32"/>
        <d v="1899-12-30T19:30:40"/>
        <d v="1899-12-30T19:32:06"/>
        <d v="1899-12-30T19:32:57"/>
        <d v="1899-12-30T19:35:46"/>
        <d v="1899-12-30T19:39:04"/>
        <d v="1899-12-30T19:40:46"/>
        <d v="1899-12-30T19:41:07"/>
        <d v="1899-12-30T19:43:49"/>
        <d v="1899-12-30T19:45:14"/>
        <d v="1899-12-30T19:47:28"/>
        <d v="1899-12-30T19:49:28"/>
        <d v="1899-12-30T19:50:49"/>
        <d v="1899-12-30T19:52:49"/>
        <d v="1899-12-30T19:56:23"/>
        <d v="1899-12-30T19:57:12"/>
        <d v="1899-12-30T19:57:23"/>
        <d v="1899-12-30T19:58:15"/>
        <d v="1899-12-30T19:58:47"/>
        <d v="1899-12-30T19:59:17"/>
        <d v="1899-12-30T19:59:49"/>
        <d v="1899-12-30T20:00:27"/>
        <d v="1899-12-30T20:02:44"/>
        <d v="1899-12-30T20:03:12"/>
        <d v="1899-12-30T20:05:28"/>
        <d v="1899-12-30T20:05:41"/>
        <d v="1899-12-30T20:07:14"/>
        <d v="1899-12-30T20:07:16"/>
        <d v="1899-12-30T20:08:08"/>
        <d v="1899-12-30T20:10:21"/>
        <d v="1899-12-30T20:10:24"/>
        <d v="1899-12-30T20:12:02"/>
        <d v="1899-12-30T20:12:59"/>
        <d v="1899-12-30T20:13:38"/>
        <d v="1899-12-30T20:14:20"/>
        <d v="1899-12-30T20:17:07"/>
        <d v="1899-12-30T20:17:11"/>
        <d v="1899-12-30T20:18:15"/>
        <d v="1899-12-30T20:18:48"/>
        <d v="1899-12-30T20:20:58"/>
        <d v="1899-12-30T20:26:22"/>
        <d v="1899-12-30T20:42:03"/>
        <d v="1899-12-30T20:42:21"/>
        <d v="1899-12-30T20:45:04"/>
        <d v="1899-12-30T20:45:10"/>
        <d v="1899-12-30T20:48:13"/>
        <d v="1899-12-30T20:51:35"/>
        <d v="1899-12-30T20:56:37"/>
        <d v="1899-12-30T21:00:14"/>
        <d v="1899-12-30T21:01:27"/>
        <d v="1899-12-30T21:01:33"/>
        <d v="1899-12-30T21:02:28"/>
        <d v="1899-12-30T21:05:28"/>
        <d v="1899-12-30T21:06:54"/>
        <d v="1899-12-30T21:08:21"/>
        <d v="1899-12-30T21:10:51"/>
        <d v="1899-12-30T21:11:22"/>
        <d v="1899-12-30T21:15:54"/>
        <d v="1899-12-30T21:20:18"/>
        <d v="1899-12-30T21:20:32"/>
        <d v="1899-12-30T21:22:34"/>
        <d v="1899-12-30T21:23:27"/>
        <d v="1899-12-30T21:26:18"/>
        <d v="1899-12-30T21:28:18"/>
        <d v="1899-12-30T21:33:53"/>
        <d v="1899-12-30T21:33:56"/>
        <d v="1899-12-30T21:35:22"/>
        <d v="1899-12-30T21:40:38"/>
        <d v="1899-12-30T21:42:16"/>
        <d v="1899-12-30T21:47:29"/>
        <d v="1899-12-30T21:47:48"/>
        <d v="1899-12-30T21:47:55"/>
        <d v="1899-12-30T21:52:02"/>
        <d v="1899-12-30T21:54:53"/>
        <d v="1899-12-30T22:01:38"/>
        <d v="1899-12-30T22:05:04"/>
        <d v="1899-12-30T22:07:54"/>
        <d v="1899-12-30T22:10:10"/>
        <d v="1899-12-30T22:12:29"/>
        <d v="1899-12-30T22:13:59"/>
        <d v="1899-12-30T22:18:40"/>
        <d v="1899-12-30T22:22:24"/>
        <d v="1899-12-30T22:24:33"/>
        <d v="1899-12-30T22:25:00"/>
        <d v="1899-12-30T22:29:57"/>
        <d v="1899-12-30T22:29:59"/>
        <d v="1899-12-30T22:30:44"/>
        <d v="1899-12-30T23:04:54"/>
        <d v="1899-12-30T23:05:17"/>
      </sharedItems>
      <extLst>
        <ext xmlns:x15="http://schemas.microsoft.com/office/spreadsheetml/2010/11/main" uri="{4F2E5C28-24EA-4eb8-9CBF-B6C8F9C3D259}">
          <x15:cachedUniqueNames>
            <x15:cachedUniqueName index="0" name="[Sheet1].[order_time].&amp;[1899-12-30T11:17:26]"/>
            <x15:cachedUniqueName index="1" name="[Sheet1].[order_time].&amp;[1899-12-30T11:25:39]"/>
            <x15:cachedUniqueName index="2" name="[Sheet1].[order_time].&amp;[1899-12-30T11:26:16]"/>
            <x15:cachedUniqueName index="3" name="[Sheet1].[order_time].&amp;[1899-12-30T11:30:24]"/>
            <x15:cachedUniqueName index="4" name="[Sheet1].[order_time].&amp;[1899-12-30T11:32:11]"/>
            <x15:cachedUniqueName index="5" name="[Sheet1].[order_time].&amp;[1899-12-30T11:37:09]"/>
            <x15:cachedUniqueName index="6" name="[Sheet1].[order_time].&amp;[1899-12-30T11:37:40]"/>
            <x15:cachedUniqueName index="7" name="[Sheet1].[order_time].&amp;[1899-12-30T11:38:00]"/>
            <x15:cachedUniqueName index="8" name="[Sheet1].[order_time].&amp;[1899-12-30T11:42:50]"/>
            <x15:cachedUniqueName index="9" name="[Sheet1].[order_time].&amp;[1899-12-30T11:43:20]"/>
            <x15:cachedUniqueName index="10" name="[Sheet1].[order_time].&amp;[1899-12-30T11:43:47]"/>
            <x15:cachedUniqueName index="11" name="[Sheet1].[order_time].&amp;[1899-12-30T11:45:00]"/>
            <x15:cachedUniqueName index="12" name="[Sheet1].[order_time].&amp;[1899-12-30T11:46:08]"/>
            <x15:cachedUniqueName index="13" name="[Sheet1].[order_time].&amp;[1899-12-30T11:46:24]"/>
            <x15:cachedUniqueName index="14" name="[Sheet1].[order_time].&amp;[1899-12-30T11:47:45]"/>
            <x15:cachedUniqueName index="15" name="[Sheet1].[order_time].&amp;[1899-12-30T11:48:24]"/>
            <x15:cachedUniqueName index="16" name="[Sheet1].[order_time].&amp;[1899-12-30T11:50:01]"/>
            <x15:cachedUniqueName index="17" name="[Sheet1].[order_time].&amp;[1899-12-30T11:52:13]"/>
            <x15:cachedUniqueName index="18" name="[Sheet1].[order_time].&amp;[1899-12-30T11:54:51]"/>
            <x15:cachedUniqueName index="19" name="[Sheet1].[order_time].&amp;[1899-12-30T11:56:03]"/>
            <x15:cachedUniqueName index="20" name="[Sheet1].[order_time].&amp;[1899-12-30T11:57:15]"/>
            <x15:cachedUniqueName index="21" name="[Sheet1].[order_time].&amp;[1899-12-30T11:57:17]"/>
            <x15:cachedUniqueName index="22" name="[Sheet1].[order_time].&amp;[1899-12-30T11:57:33]"/>
            <x15:cachedUniqueName index="23" name="[Sheet1].[order_time].&amp;[1899-12-30T11:57:40]"/>
            <x15:cachedUniqueName index="24" name="[Sheet1].[order_time].&amp;[1899-12-30T11:58:58]"/>
            <x15:cachedUniqueName index="25" name="[Sheet1].[order_time].&amp;[1899-12-30T12:01:11]"/>
            <x15:cachedUniqueName index="26" name="[Sheet1].[order_time].&amp;[1899-12-30T12:01:23]"/>
            <x15:cachedUniqueName index="27" name="[Sheet1].[order_time].&amp;[1899-12-30T12:03:35]"/>
            <x15:cachedUniqueName index="28" name="[Sheet1].[order_time].&amp;[1899-12-30T12:06:00]"/>
            <x15:cachedUniqueName index="29" name="[Sheet1].[order_time].&amp;[1899-12-30T12:08:28]"/>
            <x15:cachedUniqueName index="30" name="[Sheet1].[order_time].&amp;[1899-12-30T12:08:51]"/>
            <x15:cachedUniqueName index="31" name="[Sheet1].[order_time].&amp;[1899-12-30T12:10:20]"/>
            <x15:cachedUniqueName index="32" name="[Sheet1].[order_time].&amp;[1899-12-30T12:13:25]"/>
            <x15:cachedUniqueName index="33" name="[Sheet1].[order_time].&amp;[1899-12-30T12:14:51]"/>
            <x15:cachedUniqueName index="34" name="[Sheet1].[order_time].&amp;[1899-12-30T12:14:53]"/>
            <x15:cachedUniqueName index="35" name="[Sheet1].[order_time].&amp;[1899-12-30T12:15:57]"/>
            <x15:cachedUniqueName index="36" name="[Sheet1].[order_time].&amp;[1899-12-30T12:16:01]"/>
            <x15:cachedUniqueName index="37" name="[Sheet1].[order_time].&amp;[1899-12-30T12:16:39]"/>
            <x15:cachedUniqueName index="38" name="[Sheet1].[order_time].&amp;[1899-12-30T12:17:25]"/>
            <x15:cachedUniqueName index="39" name="[Sheet1].[order_time].&amp;[1899-12-30T12:17:37]"/>
            <x15:cachedUniqueName index="40" name="[Sheet1].[order_time].&amp;[1899-12-30T12:18:57]"/>
            <x15:cachedUniqueName index="41" name="[Sheet1].[order_time].&amp;[1899-12-30T12:20:31]"/>
            <x15:cachedUniqueName index="42" name="[Sheet1].[order_time].&amp;[1899-12-30T12:20:46]"/>
            <x15:cachedUniqueName index="43" name="[Sheet1].[order_time].&amp;[1899-12-30T12:21:06]"/>
            <x15:cachedUniqueName index="44" name="[Sheet1].[order_time].&amp;[1899-12-30T12:27:17]"/>
            <x15:cachedUniqueName index="45" name="[Sheet1].[order_time].&amp;[1899-12-30T12:27:27]"/>
            <x15:cachedUniqueName index="46" name="[Sheet1].[order_time].&amp;[1899-12-30T12:30:09]"/>
            <x15:cachedUniqueName index="47" name="[Sheet1].[order_time].&amp;[1899-12-30T12:30:24]"/>
            <x15:cachedUniqueName index="48" name="[Sheet1].[order_time].&amp;[1899-12-30T12:31:03]"/>
            <x15:cachedUniqueName index="49" name="[Sheet1].[order_time].&amp;[1899-12-30T12:32:00]"/>
            <x15:cachedUniqueName index="50" name="[Sheet1].[order_time].&amp;[1899-12-30T12:32:04]"/>
            <x15:cachedUniqueName index="51" name="[Sheet1].[order_time].&amp;[1899-12-30T12:32:10]"/>
            <x15:cachedUniqueName index="52" name="[Sheet1].[order_time].&amp;[1899-12-30T12:35:19]"/>
            <x15:cachedUniqueName index="53" name="[Sheet1].[order_time].&amp;[1899-12-30T12:36:47]"/>
            <x15:cachedUniqueName index="54" name="[Sheet1].[order_time].&amp;[1899-12-30T12:36:58]"/>
            <x15:cachedUniqueName index="55" name="[Sheet1].[order_time].&amp;[1899-12-30T12:37:25]"/>
            <x15:cachedUniqueName index="56" name="[Sheet1].[order_time].&amp;[1899-12-30T12:38:07]"/>
            <x15:cachedUniqueName index="57" name="[Sheet1].[order_time].&amp;[1899-12-30T12:38:11]"/>
            <x15:cachedUniqueName index="58" name="[Sheet1].[order_time].&amp;[1899-12-30T12:38:38]"/>
            <x15:cachedUniqueName index="59" name="[Sheet1].[order_time].&amp;[1899-12-30T12:38:49]"/>
            <x15:cachedUniqueName index="60" name="[Sheet1].[order_time].&amp;[1899-12-30T12:39:14]"/>
            <x15:cachedUniqueName index="61" name="[Sheet1].[order_time].&amp;[1899-12-30T12:39:43]"/>
            <x15:cachedUniqueName index="62" name="[Sheet1].[order_time].&amp;[1899-12-30T12:40:39]"/>
            <x15:cachedUniqueName index="63" name="[Sheet1].[order_time].&amp;[1899-12-30T12:42:07]"/>
            <x15:cachedUniqueName index="64" name="[Sheet1].[order_time].&amp;[1899-12-30T12:43:20]"/>
            <x15:cachedUniqueName index="65" name="[Sheet1].[order_time].&amp;[1899-12-30T12:43:48]"/>
            <x15:cachedUniqueName index="66" name="[Sheet1].[order_time].&amp;[1899-12-30T12:43:50]"/>
            <x15:cachedUniqueName index="67" name="[Sheet1].[order_time].&amp;[1899-12-30T12:44:22]"/>
            <x15:cachedUniqueName index="68" name="[Sheet1].[order_time].&amp;[1899-12-30T12:45:11]"/>
            <x15:cachedUniqueName index="69" name="[Sheet1].[order_time].&amp;[1899-12-30T12:48:15]"/>
            <x15:cachedUniqueName index="70" name="[Sheet1].[order_time].&amp;[1899-12-30T12:48:46]"/>
            <x15:cachedUniqueName index="71" name="[Sheet1].[order_time].&amp;[1899-12-30T12:53:15]"/>
            <x15:cachedUniqueName index="72" name="[Sheet1].[order_time].&amp;[1899-12-30T12:53:24]"/>
            <x15:cachedUniqueName index="73" name="[Sheet1].[order_time].&amp;[1899-12-30T12:53:57]"/>
            <x15:cachedUniqueName index="74" name="[Sheet1].[order_time].&amp;[1899-12-30T12:54:00]"/>
            <x15:cachedUniqueName index="75" name="[Sheet1].[order_time].&amp;[1899-12-30T12:54:04]"/>
            <x15:cachedUniqueName index="76" name="[Sheet1].[order_time].&amp;[1899-12-30T12:54:56]"/>
            <x15:cachedUniqueName index="77" name="[Sheet1].[order_time].&amp;[1899-12-30T12:59:26]"/>
            <x15:cachedUniqueName index="78" name="[Sheet1].[order_time].&amp;[1899-12-30T12:59:37]"/>
            <x15:cachedUniqueName index="79" name="[Sheet1].[order_time].&amp;[1899-12-30T13:00:34]"/>
            <x15:cachedUniqueName index="80" name="[Sheet1].[order_time].&amp;[1899-12-30T13:00:48]"/>
            <x15:cachedUniqueName index="81" name="[Sheet1].[order_time].&amp;[1899-12-30T13:01:46]"/>
            <x15:cachedUniqueName index="82" name="[Sheet1].[order_time].&amp;[1899-12-30T13:02:59]"/>
            <x15:cachedUniqueName index="83" name="[Sheet1].[order_time].&amp;[1899-12-30T13:04:17]"/>
            <x15:cachedUniqueName index="84" name="[Sheet1].[order_time].&amp;[1899-12-30T13:04:34]"/>
            <x15:cachedUniqueName index="85" name="[Sheet1].[order_time].&amp;[1899-12-30T13:05:32]"/>
            <x15:cachedUniqueName index="86" name="[Sheet1].[order_time].&amp;[1899-12-30T13:07:12]"/>
            <x15:cachedUniqueName index="87" name="[Sheet1].[order_time].&amp;[1899-12-30T13:07:44]"/>
            <x15:cachedUniqueName index="88" name="[Sheet1].[order_time].&amp;[1899-12-30T13:10:00]"/>
            <x15:cachedUniqueName index="89" name="[Sheet1].[order_time].&amp;[1899-12-30T13:11:19]"/>
            <x15:cachedUniqueName index="90" name="[Sheet1].[order_time].&amp;[1899-12-30T13:11:52]"/>
            <x15:cachedUniqueName index="91" name="[Sheet1].[order_time].&amp;[1899-12-30T13:13:42]"/>
            <x15:cachedUniqueName index="92" name="[Sheet1].[order_time].&amp;[1899-12-30T13:13:54]"/>
            <x15:cachedUniqueName index="93" name="[Sheet1].[order_time].&amp;[1899-12-30T13:14:51]"/>
            <x15:cachedUniqueName index="94" name="[Sheet1].[order_time].&amp;[1899-12-30T13:15:15]"/>
            <x15:cachedUniqueName index="95" name="[Sheet1].[order_time].&amp;[1899-12-30T13:17:26]"/>
            <x15:cachedUniqueName index="96" name="[Sheet1].[order_time].&amp;[1899-12-30T13:21:45]"/>
            <x15:cachedUniqueName index="97" name="[Sheet1].[order_time].&amp;[1899-12-30T13:23:29]"/>
            <x15:cachedUniqueName index="98" name="[Sheet1].[order_time].&amp;[1899-12-30T13:25:16]"/>
            <x15:cachedUniqueName index="99" name="[Sheet1].[order_time].&amp;[1899-12-30T13:25:59]"/>
            <x15:cachedUniqueName index="100" name="[Sheet1].[order_time].&amp;[1899-12-30T13:26:21]"/>
            <x15:cachedUniqueName index="101" name="[Sheet1].[order_time].&amp;[1899-12-30T13:28:23]"/>
            <x15:cachedUniqueName index="102" name="[Sheet1].[order_time].&amp;[1899-12-30T13:30:42]"/>
            <x15:cachedUniqueName index="103" name="[Sheet1].[order_time].&amp;[1899-12-30T13:31:13]"/>
            <x15:cachedUniqueName index="104" name="[Sheet1].[order_time].&amp;[1899-12-30T13:32:00]"/>
            <x15:cachedUniqueName index="105" name="[Sheet1].[order_time].&amp;[1899-12-30T13:32:04]"/>
            <x15:cachedUniqueName index="106" name="[Sheet1].[order_time].&amp;[1899-12-30T13:33:16]"/>
            <x15:cachedUniqueName index="107" name="[Sheet1].[order_time].&amp;[1899-12-30T13:34:43]"/>
            <x15:cachedUniqueName index="108" name="[Sheet1].[order_time].&amp;[1899-12-30T13:35:09]"/>
            <x15:cachedUniqueName index="109" name="[Sheet1].[order_time].&amp;[1899-12-30T13:35:53]"/>
            <x15:cachedUniqueName index="110" name="[Sheet1].[order_time].&amp;[1899-12-30T13:36:07]"/>
            <x15:cachedUniqueName index="111" name="[Sheet1].[order_time].&amp;[1899-12-30T13:36:24]"/>
            <x15:cachedUniqueName index="112" name="[Sheet1].[order_time].&amp;[1899-12-30T13:36:52]"/>
            <x15:cachedUniqueName index="113" name="[Sheet1].[order_time].&amp;[1899-12-30T13:36:53]"/>
            <x15:cachedUniqueName index="114" name="[Sheet1].[order_time].&amp;[1899-12-30T13:38:50]"/>
            <x15:cachedUniqueName index="115" name="[Sheet1].[order_time].&amp;[1899-12-30T13:42:12]"/>
            <x15:cachedUniqueName index="116" name="[Sheet1].[order_time].&amp;[1899-12-30T13:43:47]"/>
            <x15:cachedUniqueName index="117" name="[Sheet1].[order_time].&amp;[1899-12-30T13:44:56]"/>
            <x15:cachedUniqueName index="118" name="[Sheet1].[order_time].&amp;[1899-12-30T13:46:36]"/>
            <x15:cachedUniqueName index="119" name="[Sheet1].[order_time].&amp;[1899-12-30T13:46:55]"/>
            <x15:cachedUniqueName index="120" name="[Sheet1].[order_time].&amp;[1899-12-30T13:47:06]"/>
            <x15:cachedUniqueName index="121" name="[Sheet1].[order_time].&amp;[1899-12-30T13:47:53]"/>
            <x15:cachedUniqueName index="122" name="[Sheet1].[order_time].&amp;[1899-12-30T13:48:00]"/>
            <x15:cachedUniqueName index="123" name="[Sheet1].[order_time].&amp;[1899-12-30T13:48:02]"/>
            <x15:cachedUniqueName index="124" name="[Sheet1].[order_time].&amp;[1899-12-30T13:51:02]"/>
            <x15:cachedUniqueName index="125" name="[Sheet1].[order_time].&amp;[1899-12-30T13:51:14]"/>
            <x15:cachedUniqueName index="126" name="[Sheet1].[order_time].&amp;[1899-12-30T13:52:28]"/>
            <x15:cachedUniqueName index="127" name="[Sheet1].[order_time].&amp;[1899-12-30T13:55:33]"/>
            <x15:cachedUniqueName index="128" name="[Sheet1].[order_time].&amp;[1899-12-30T13:56:42]"/>
            <x15:cachedUniqueName index="129" name="[Sheet1].[order_time].&amp;[1899-12-30T13:57:38]"/>
            <x15:cachedUniqueName index="130" name="[Sheet1].[order_time].&amp;[1899-12-30T13:58:34]"/>
            <x15:cachedUniqueName index="131" name="[Sheet1].[order_time].&amp;[1899-12-30T13:58:42]"/>
            <x15:cachedUniqueName index="132" name="[Sheet1].[order_time].&amp;[1899-12-30T14:00:40]"/>
            <x15:cachedUniqueName index="133" name="[Sheet1].[order_time].&amp;[1899-12-30T14:01:18]"/>
            <x15:cachedUniqueName index="134" name="[Sheet1].[order_time].&amp;[1899-12-30T14:03:08]"/>
            <x15:cachedUniqueName index="135" name="[Sheet1].[order_time].&amp;[1899-12-30T14:03:41]"/>
            <x15:cachedUniqueName index="136" name="[Sheet1].[order_time].&amp;[1899-12-30T14:03:48]"/>
            <x15:cachedUniqueName index="137" name="[Sheet1].[order_time].&amp;[1899-12-30T14:05:48]"/>
            <x15:cachedUniqueName index="138" name="[Sheet1].[order_time].&amp;[1899-12-30T14:07:56]"/>
            <x15:cachedUniqueName index="139" name="[Sheet1].[order_time].&amp;[1899-12-30T14:11:00]"/>
            <x15:cachedUniqueName index="140" name="[Sheet1].[order_time].&amp;[1899-12-30T14:12:12]"/>
            <x15:cachedUniqueName index="141" name="[Sheet1].[order_time].&amp;[1899-12-30T14:13:17]"/>
            <x15:cachedUniqueName index="142" name="[Sheet1].[order_time].&amp;[1899-12-30T14:15:34]"/>
            <x15:cachedUniqueName index="143" name="[Sheet1].[order_time].&amp;[1899-12-30T14:16:12]"/>
            <x15:cachedUniqueName index="144" name="[Sheet1].[order_time].&amp;[1899-12-30T14:16:57]"/>
            <x15:cachedUniqueName index="145" name="[Sheet1].[order_time].&amp;[1899-12-30T14:18:20]"/>
            <x15:cachedUniqueName index="146" name="[Sheet1].[order_time].&amp;[1899-12-30T14:22:19]"/>
            <x15:cachedUniqueName index="147" name="[Sheet1].[order_time].&amp;[1899-12-30T14:22:55]"/>
            <x15:cachedUniqueName index="148" name="[Sheet1].[order_time].&amp;[1899-12-30T14:28:10]"/>
            <x15:cachedUniqueName index="149" name="[Sheet1].[order_time].&amp;[1899-12-30T14:29:04]"/>
            <x15:cachedUniqueName index="150" name="[Sheet1].[order_time].&amp;[1899-12-30T14:29:23]"/>
            <x15:cachedUniqueName index="151" name="[Sheet1].[order_time].&amp;[1899-12-30T14:29:44]"/>
            <x15:cachedUniqueName index="152" name="[Sheet1].[order_time].&amp;[1899-12-30T14:32:31]"/>
            <x15:cachedUniqueName index="153" name="[Sheet1].[order_time].&amp;[1899-12-30T14:33:19]"/>
            <x15:cachedUniqueName index="154" name="[Sheet1].[order_time].&amp;[1899-12-30T14:35:47]"/>
            <x15:cachedUniqueName index="155" name="[Sheet1].[order_time].&amp;[1899-12-30T14:36:31]"/>
            <x15:cachedUniqueName index="156" name="[Sheet1].[order_time].&amp;[1899-12-30T14:37:19]"/>
            <x15:cachedUniqueName index="157" name="[Sheet1].[order_time].&amp;[1899-12-30T14:38:31]"/>
            <x15:cachedUniqueName index="158" name="[Sheet1].[order_time].&amp;[1899-12-30T14:39:18]"/>
            <x15:cachedUniqueName index="159" name="[Sheet1].[order_time].&amp;[1899-12-30T14:42:38]"/>
            <x15:cachedUniqueName index="160" name="[Sheet1].[order_time].&amp;[1899-12-30T14:45:52]"/>
            <x15:cachedUniqueName index="161" name="[Sheet1].[order_time].&amp;[1899-12-30T14:46:12]"/>
            <x15:cachedUniqueName index="162" name="[Sheet1].[order_time].&amp;[1899-12-30T14:48:02]"/>
            <x15:cachedUniqueName index="163" name="[Sheet1].[order_time].&amp;[1899-12-30T14:49:28]"/>
            <x15:cachedUniqueName index="164" name="[Sheet1].[order_time].&amp;[1899-12-30T14:50:58]"/>
            <x15:cachedUniqueName index="165" name="[Sheet1].[order_time].&amp;[1899-12-30T14:55:06]"/>
            <x15:cachedUniqueName index="166" name="[Sheet1].[order_time].&amp;[1899-12-30T14:56:09]"/>
            <x15:cachedUniqueName index="167" name="[Sheet1].[order_time].&amp;[1899-12-30T14:56:38]"/>
            <x15:cachedUniqueName index="168" name="[Sheet1].[order_time].&amp;[1899-12-30T14:57:58]"/>
            <x15:cachedUniqueName index="169" name="[Sheet1].[order_time].&amp;[1899-12-30T14:59:17]"/>
            <x15:cachedUniqueName index="170" name="[Sheet1].[order_time].&amp;[1899-12-30T15:01:39]"/>
            <x15:cachedUniqueName index="171" name="[Sheet1].[order_time].&amp;[1899-12-30T15:02:25]"/>
            <x15:cachedUniqueName index="172" name="[Sheet1].[order_time].&amp;[1899-12-30T15:05:02]"/>
            <x15:cachedUniqueName index="173" name="[Sheet1].[order_time].&amp;[1899-12-30T15:05:04]"/>
            <x15:cachedUniqueName index="174" name="[Sheet1].[order_time].&amp;[1899-12-30T15:06:07]"/>
            <x15:cachedUniqueName index="175" name="[Sheet1].[order_time].&amp;[1899-12-30T15:07:49]"/>
            <x15:cachedUniqueName index="176" name="[Sheet1].[order_time].&amp;[1899-12-30T15:10:48]"/>
            <x15:cachedUniqueName index="177" name="[Sheet1].[order_time].&amp;[1899-12-30T15:10:57]"/>
            <x15:cachedUniqueName index="178" name="[Sheet1].[order_time].&amp;[1899-12-30T15:12:34]"/>
            <x15:cachedUniqueName index="179" name="[Sheet1].[order_time].&amp;[1899-12-30T15:15:49]"/>
            <x15:cachedUniqueName index="180" name="[Sheet1].[order_time].&amp;[1899-12-30T15:18:26]"/>
            <x15:cachedUniqueName index="181" name="[Sheet1].[order_time].&amp;[1899-12-30T15:18:33]"/>
            <x15:cachedUniqueName index="182" name="[Sheet1].[order_time].&amp;[1899-12-30T15:23:43]"/>
            <x15:cachedUniqueName index="183" name="[Sheet1].[order_time].&amp;[1899-12-30T15:23:51]"/>
            <x15:cachedUniqueName index="184" name="[Sheet1].[order_time].&amp;[1899-12-30T15:26:15]"/>
            <x15:cachedUniqueName index="185" name="[Sheet1].[order_time].&amp;[1899-12-30T15:28:38]"/>
            <x15:cachedUniqueName index="186" name="[Sheet1].[order_time].&amp;[1899-12-30T15:28:45]"/>
            <x15:cachedUniqueName index="187" name="[Sheet1].[order_time].&amp;[1899-12-30T15:33:13]"/>
            <x15:cachedUniqueName index="188" name="[Sheet1].[order_time].&amp;[1899-12-30T15:37:01]"/>
            <x15:cachedUniqueName index="189" name="[Sheet1].[order_time].&amp;[1899-12-30T15:37:51]"/>
            <x15:cachedUniqueName index="190" name="[Sheet1].[order_time].&amp;[1899-12-30T15:38:08]"/>
            <x15:cachedUniqueName index="191" name="[Sheet1].[order_time].&amp;[1899-12-30T15:38:22]"/>
            <x15:cachedUniqueName index="192" name="[Sheet1].[order_time].&amp;[1899-12-30T15:39:31]"/>
            <x15:cachedUniqueName index="193" name="[Sheet1].[order_time].&amp;[1899-12-30T15:40:17]"/>
            <x15:cachedUniqueName index="194" name="[Sheet1].[order_time].&amp;[1899-12-30T15:43:57]"/>
            <x15:cachedUniqueName index="195" name="[Sheet1].[order_time].&amp;[1899-12-30T15:45:30]"/>
            <x15:cachedUniqueName index="196" name="[Sheet1].[order_time].&amp;[1899-12-30T15:47:06]"/>
            <x15:cachedUniqueName index="197" name="[Sheet1].[order_time].&amp;[1899-12-30T15:52:38]"/>
            <x15:cachedUniqueName index="198" name="[Sheet1].[order_time].&amp;[1899-12-30T15:54:56]"/>
            <x15:cachedUniqueName index="199" name="[Sheet1].[order_time].&amp;[1899-12-30T15:57:09]"/>
            <x15:cachedUniqueName index="200" name="[Sheet1].[order_time].&amp;[1899-12-30T15:59:30]"/>
            <x15:cachedUniqueName index="201" name="[Sheet1].[order_time].&amp;[1899-12-30T15:59:32]"/>
            <x15:cachedUniqueName index="202" name="[Sheet1].[order_time].&amp;[1899-12-30T16:00:44]"/>
            <x15:cachedUniqueName index="203" name="[Sheet1].[order_time].&amp;[1899-12-30T16:03:27]"/>
            <x15:cachedUniqueName index="204" name="[Sheet1].[order_time].&amp;[1899-12-30T16:03:29]"/>
            <x15:cachedUniqueName index="205" name="[Sheet1].[order_time].&amp;[1899-12-30T16:05:24]"/>
            <x15:cachedUniqueName index="206" name="[Sheet1].[order_time].&amp;[1899-12-30T16:07:09]"/>
            <x15:cachedUniqueName index="207" name="[Sheet1].[order_time].&amp;[1899-12-30T16:07:22]"/>
            <x15:cachedUniqueName index="208" name="[Sheet1].[order_time].&amp;[1899-12-30T16:11:26]"/>
            <x15:cachedUniqueName index="209" name="[Sheet1].[order_time].&amp;[1899-12-30T16:14:12]"/>
            <x15:cachedUniqueName index="210" name="[Sheet1].[order_time].&amp;[1899-12-30T16:14:14]"/>
            <x15:cachedUniqueName index="211" name="[Sheet1].[order_time].&amp;[1899-12-30T16:14:59]"/>
            <x15:cachedUniqueName index="212" name="[Sheet1].[order_time].&amp;[1899-12-30T16:15:21]"/>
            <x15:cachedUniqueName index="213" name="[Sheet1].[order_time].&amp;[1899-12-30T16:15:40]"/>
            <x15:cachedUniqueName index="214" name="[Sheet1].[order_time].&amp;[1899-12-30T16:19:30]"/>
            <x15:cachedUniqueName index="215" name="[Sheet1].[order_time].&amp;[1899-12-30T16:19:50]"/>
            <x15:cachedUniqueName index="216" name="[Sheet1].[order_time].&amp;[1899-12-30T16:20:23]"/>
            <x15:cachedUniqueName index="217" name="[Sheet1].[order_time].&amp;[1899-12-30T16:22:20]"/>
            <x15:cachedUniqueName index="218" name="[Sheet1].[order_time].&amp;[1899-12-30T16:24:57]"/>
            <x15:cachedUniqueName index="219" name="[Sheet1].[order_time].&amp;[1899-12-30T16:25:52]"/>
            <x15:cachedUniqueName index="220" name="[Sheet1].[order_time].&amp;[1899-12-30T16:26:04]"/>
            <x15:cachedUniqueName index="221" name="[Sheet1].[order_time].&amp;[1899-12-30T16:26:05]"/>
            <x15:cachedUniqueName index="222" name="[Sheet1].[order_time].&amp;[1899-12-30T16:26:34]"/>
            <x15:cachedUniqueName index="223" name="[Sheet1].[order_time].&amp;[1899-12-30T16:28:24]"/>
            <x15:cachedUniqueName index="224" name="[Sheet1].[order_time].&amp;[1899-12-30T16:31:58]"/>
            <x15:cachedUniqueName index="225" name="[Sheet1].[order_time].&amp;[1899-12-30T16:33:13]"/>
            <x15:cachedUniqueName index="226" name="[Sheet1].[order_time].&amp;[1899-12-30T16:38:07]"/>
            <x15:cachedUniqueName index="227" name="[Sheet1].[order_time].&amp;[1899-12-30T16:41:57]"/>
            <x15:cachedUniqueName index="228" name="[Sheet1].[order_time].&amp;[1899-12-30T16:44:16]"/>
            <x15:cachedUniqueName index="229" name="[Sheet1].[order_time].&amp;[1899-12-30T16:44:33]"/>
            <x15:cachedUniqueName index="230" name="[Sheet1].[order_time].&amp;[1899-12-30T16:45:11]"/>
            <x15:cachedUniqueName index="231" name="[Sheet1].[order_time].&amp;[1899-12-30T16:46:22]"/>
            <x15:cachedUniqueName index="232" name="[Sheet1].[order_time].&amp;[1899-12-30T16:47:30]"/>
            <x15:cachedUniqueName index="233" name="[Sheet1].[order_time].&amp;[1899-12-30T16:47:39]"/>
            <x15:cachedUniqueName index="234" name="[Sheet1].[order_time].&amp;[1899-12-30T16:49:52]"/>
            <x15:cachedUniqueName index="235" name="[Sheet1].[order_time].&amp;[1899-12-30T16:51:04]"/>
            <x15:cachedUniqueName index="236" name="[Sheet1].[order_time].&amp;[1899-12-30T16:52:04]"/>
            <x15:cachedUniqueName index="237" name="[Sheet1].[order_time].&amp;[1899-12-30T16:52:56]"/>
            <x15:cachedUniqueName index="238" name="[Sheet1].[order_time].&amp;[1899-12-30T16:53:57]"/>
            <x15:cachedUniqueName index="239" name="[Sheet1].[order_time].&amp;[1899-12-30T16:55:19]"/>
            <x15:cachedUniqueName index="240" name="[Sheet1].[order_time].&amp;[1899-12-30T16:56:04]"/>
            <x15:cachedUniqueName index="241" name="[Sheet1].[order_time].&amp;[1899-12-30T16:57:08]"/>
            <x15:cachedUniqueName index="242" name="[Sheet1].[order_time].&amp;[1899-12-30T16:59:08]"/>
            <x15:cachedUniqueName index="243" name="[Sheet1].[order_time].&amp;[1899-12-30T17:01:18]"/>
            <x15:cachedUniqueName index="244" name="[Sheet1].[order_time].&amp;[1899-12-30T17:01:55]"/>
            <x15:cachedUniqueName index="245" name="[Sheet1].[order_time].&amp;[1899-12-30T17:02:16]"/>
            <x15:cachedUniqueName index="246" name="[Sheet1].[order_time].&amp;[1899-12-30T17:02:20]"/>
            <x15:cachedUniqueName index="247" name="[Sheet1].[order_time].&amp;[1899-12-30T17:05:25]"/>
            <x15:cachedUniqueName index="248" name="[Sheet1].[order_time].&amp;[1899-12-30T17:07:10]"/>
            <x15:cachedUniqueName index="249" name="[Sheet1].[order_time].&amp;[1899-12-30T17:08:13]"/>
            <x15:cachedUniqueName index="250" name="[Sheet1].[order_time].&amp;[1899-12-30T17:09:15]"/>
            <x15:cachedUniqueName index="251" name="[Sheet1].[order_time].&amp;[1899-12-30T17:09:42]"/>
            <x15:cachedUniqueName index="252" name="[Sheet1].[order_time].&amp;[1899-12-30T17:12:16]"/>
            <x15:cachedUniqueName index="253" name="[Sheet1].[order_time].&amp;[1899-12-30T17:12:23]"/>
            <x15:cachedUniqueName index="254" name="[Sheet1].[order_time].&amp;[1899-12-30T17:13:15]"/>
            <x15:cachedUniqueName index="255" name="[Sheet1].[order_time].&amp;[1899-12-30T17:13:50]"/>
            <x15:cachedUniqueName index="256" name="[Sheet1].[order_time].&amp;[1899-12-30T17:14:03]"/>
            <x15:cachedUniqueName index="257" name="[Sheet1].[order_time].&amp;[1899-12-30T17:14:48]"/>
            <x15:cachedUniqueName index="258" name="[Sheet1].[order_time].&amp;[1899-12-30T17:18:23]"/>
            <x15:cachedUniqueName index="259" name="[Sheet1].[order_time].&amp;[1899-12-30T17:19:00]"/>
            <x15:cachedUniqueName index="260" name="[Sheet1].[order_time].&amp;[1899-12-30T17:19:05]"/>
            <x15:cachedUniqueName index="261" name="[Sheet1].[order_time].&amp;[1899-12-30T17:19:56]"/>
            <x15:cachedUniqueName index="262" name="[Sheet1].[order_time].&amp;[1899-12-30T17:20:28]"/>
            <x15:cachedUniqueName index="263" name="[Sheet1].[order_time].&amp;[1899-12-30T17:21:38]"/>
            <x15:cachedUniqueName index="264" name="[Sheet1].[order_time].&amp;[1899-12-30T17:21:55]"/>
            <x15:cachedUniqueName index="265" name="[Sheet1].[order_time].&amp;[1899-12-30T17:22:04]"/>
            <x15:cachedUniqueName index="266" name="[Sheet1].[order_time].&amp;[1899-12-30T17:22:15]"/>
            <x15:cachedUniqueName index="267" name="[Sheet1].[order_time].&amp;[1899-12-30T17:22:30]"/>
            <x15:cachedUniqueName index="268" name="[Sheet1].[order_time].&amp;[1899-12-30T17:24:24]"/>
            <x15:cachedUniqueName index="269" name="[Sheet1].[order_time].&amp;[1899-12-30T17:25:58]"/>
            <x15:cachedUniqueName index="270" name="[Sheet1].[order_time].&amp;[1899-12-30T17:26:15]"/>
            <x15:cachedUniqueName index="271" name="[Sheet1].[order_time].&amp;[1899-12-30T17:27:11]"/>
            <x15:cachedUniqueName index="272" name="[Sheet1].[order_time].&amp;[1899-12-30T17:27:14]"/>
            <x15:cachedUniqueName index="273" name="[Sheet1].[order_time].&amp;[1899-12-30T17:28:19]"/>
            <x15:cachedUniqueName index="274" name="[Sheet1].[order_time].&amp;[1899-12-30T17:28:26]"/>
            <x15:cachedUniqueName index="275" name="[Sheet1].[order_time].&amp;[1899-12-30T17:29:08]"/>
            <x15:cachedUniqueName index="276" name="[Sheet1].[order_time].&amp;[1899-12-30T17:29:20]"/>
            <x15:cachedUniqueName index="277" name="[Sheet1].[order_time].&amp;[1899-12-30T17:30:25]"/>
            <x15:cachedUniqueName index="278" name="[Sheet1].[order_time].&amp;[1899-12-30T17:30:54]"/>
            <x15:cachedUniqueName index="279" name="[Sheet1].[order_time].&amp;[1899-12-30T17:33:53]"/>
            <x15:cachedUniqueName index="280" name="[Sheet1].[order_time].&amp;[1899-12-30T17:34:01]"/>
            <x15:cachedUniqueName index="281" name="[Sheet1].[order_time].&amp;[1899-12-30T17:34:06]"/>
            <x15:cachedUniqueName index="282" name="[Sheet1].[order_time].&amp;[1899-12-30T17:34:41]"/>
            <x15:cachedUniqueName index="283" name="[Sheet1].[order_time].&amp;[1899-12-30T17:35:35]"/>
            <x15:cachedUniqueName index="284" name="[Sheet1].[order_time].&amp;[1899-12-30T17:35:41]"/>
            <x15:cachedUniqueName index="285" name="[Sheet1].[order_time].&amp;[1899-12-30T17:36:02]"/>
            <x15:cachedUniqueName index="286" name="[Sheet1].[order_time].&amp;[1899-12-30T17:37:11]"/>
            <x15:cachedUniqueName index="287" name="[Sheet1].[order_time].&amp;[1899-12-30T17:37:41]"/>
            <x15:cachedUniqueName index="288" name="[Sheet1].[order_time].&amp;[1899-12-30T17:38:20]"/>
            <x15:cachedUniqueName index="289" name="[Sheet1].[order_time].&amp;[1899-12-30T17:38:35]"/>
            <x15:cachedUniqueName index="290" name="[Sheet1].[order_time].&amp;[1899-12-30T17:39:42]"/>
            <x15:cachedUniqueName index="291" name="[Sheet1].[order_time].&amp;[1899-12-30T17:40:41]"/>
            <x15:cachedUniqueName index="292" name="[Sheet1].[order_time].&amp;[1899-12-30T17:45:17]"/>
            <x15:cachedUniqueName index="293" name="[Sheet1].[order_time].&amp;[1899-12-30T17:46:56]"/>
            <x15:cachedUniqueName index="294" name="[Sheet1].[order_time].&amp;[1899-12-30T17:47:12]"/>
            <x15:cachedUniqueName index="295" name="[Sheet1].[order_time].&amp;[1899-12-30T17:47:42]"/>
            <x15:cachedUniqueName index="296" name="[Sheet1].[order_time].&amp;[1899-12-30T17:48:05]"/>
            <x15:cachedUniqueName index="297" name="[Sheet1].[order_time].&amp;[1899-12-30T17:48:48]"/>
            <x15:cachedUniqueName index="298" name="[Sheet1].[order_time].&amp;[1899-12-30T17:49:28]"/>
            <x15:cachedUniqueName index="299" name="[Sheet1].[order_time].&amp;[1899-12-30T17:50:26]"/>
            <x15:cachedUniqueName index="300" name="[Sheet1].[order_time].&amp;[1899-12-30T17:52:09]"/>
            <x15:cachedUniqueName index="301" name="[Sheet1].[order_time].&amp;[1899-12-30T17:52:54]"/>
            <x15:cachedUniqueName index="302" name="[Sheet1].[order_time].&amp;[1899-12-30T17:52:59]"/>
            <x15:cachedUniqueName index="303" name="[Sheet1].[order_time].&amp;[1899-12-30T17:54:30]"/>
            <x15:cachedUniqueName index="304" name="[Sheet1].[order_time].&amp;[1899-12-30T17:55:42]"/>
            <x15:cachedUniqueName index="305" name="[Sheet1].[order_time].&amp;[1899-12-30T17:56:52]"/>
            <x15:cachedUniqueName index="306" name="[Sheet1].[order_time].&amp;[1899-12-30T17:57:15]"/>
            <x15:cachedUniqueName index="307" name="[Sheet1].[order_time].&amp;[1899-12-30T17:57:18]"/>
            <x15:cachedUniqueName index="308" name="[Sheet1].[order_time].&amp;[1899-12-30T17:57:21]"/>
            <x15:cachedUniqueName index="309" name="[Sheet1].[order_time].&amp;[1899-12-30T17:57:55]"/>
            <x15:cachedUniqueName index="310" name="[Sheet1].[order_time].&amp;[1899-12-30T17:58:19]"/>
            <x15:cachedUniqueName index="311" name="[Sheet1].[order_time].&amp;[1899-12-30T17:59:03]"/>
            <x15:cachedUniqueName index="312" name="[Sheet1].[order_time].&amp;[1899-12-30T17:59:04]"/>
            <x15:cachedUniqueName index="313" name="[Sheet1].[order_time].&amp;[1899-12-30T18:00:07]"/>
            <x15:cachedUniqueName index="314" name="[Sheet1].[order_time].&amp;[1899-12-30T18:00:30]"/>
            <x15:cachedUniqueName index="315" name="[Sheet1].[order_time].&amp;[1899-12-30T18:00:37]"/>
            <x15:cachedUniqueName index="316" name="[Sheet1].[order_time].&amp;[1899-12-30T18:03:39]"/>
            <x15:cachedUniqueName index="317" name="[Sheet1].[order_time].&amp;[1899-12-30T18:04:57]"/>
            <x15:cachedUniqueName index="318" name="[Sheet1].[order_time].&amp;[1899-12-30T18:05:09]"/>
            <x15:cachedUniqueName index="319" name="[Sheet1].[order_time].&amp;[1899-12-30T18:05:47]"/>
            <x15:cachedUniqueName index="320" name="[Sheet1].[order_time].&amp;[1899-12-30T18:06:31]"/>
            <x15:cachedUniqueName index="321" name="[Sheet1].[order_time].&amp;[1899-12-30T18:09:07]"/>
            <x15:cachedUniqueName index="322" name="[Sheet1].[order_time].&amp;[1899-12-30T18:09:09]"/>
            <x15:cachedUniqueName index="323" name="[Sheet1].[order_time].&amp;[1899-12-30T18:10:33]"/>
            <x15:cachedUniqueName index="324" name="[Sheet1].[order_time].&amp;[1899-12-30T18:10:49]"/>
            <x15:cachedUniqueName index="325" name="[Sheet1].[order_time].&amp;[1899-12-30T18:10:50]"/>
            <x15:cachedUniqueName index="326" name="[Sheet1].[order_time].&amp;[1899-12-30T18:11:03]"/>
            <x15:cachedUniqueName index="327" name="[Sheet1].[order_time].&amp;[1899-12-30T18:12:37]"/>
            <x15:cachedUniqueName index="328" name="[Sheet1].[order_time].&amp;[1899-12-30T18:16:29]"/>
            <x15:cachedUniqueName index="329" name="[Sheet1].[order_time].&amp;[1899-12-30T18:16:47]"/>
            <x15:cachedUniqueName index="330" name="[Sheet1].[order_time].&amp;[1899-12-30T18:17:16]"/>
            <x15:cachedUniqueName index="331" name="[Sheet1].[order_time].&amp;[1899-12-30T18:17:40]"/>
            <x15:cachedUniqueName index="332" name="[Sheet1].[order_time].&amp;[1899-12-30T18:19:00]"/>
            <x15:cachedUniqueName index="333" name="[Sheet1].[order_time].&amp;[1899-12-30T18:19:19]"/>
            <x15:cachedUniqueName index="334" name="[Sheet1].[order_time].&amp;[1899-12-30T18:19:24]"/>
            <x15:cachedUniqueName index="335" name="[Sheet1].[order_time].&amp;[1899-12-30T18:20:11]"/>
            <x15:cachedUniqueName index="336" name="[Sheet1].[order_time].&amp;[1899-12-30T18:21:24]"/>
            <x15:cachedUniqueName index="337" name="[Sheet1].[order_time].&amp;[1899-12-30T18:21:27]"/>
            <x15:cachedUniqueName index="338" name="[Sheet1].[order_time].&amp;[1899-12-30T18:21:38]"/>
            <x15:cachedUniqueName index="339" name="[Sheet1].[order_time].&amp;[1899-12-30T18:21:44]"/>
            <x15:cachedUniqueName index="340" name="[Sheet1].[order_time].&amp;[1899-12-30T18:26:41]"/>
            <x15:cachedUniqueName index="341" name="[Sheet1].[order_time].&amp;[1899-12-30T18:29:04]"/>
            <x15:cachedUniqueName index="342" name="[Sheet1].[order_time].&amp;[1899-12-30T18:30:00]"/>
            <x15:cachedUniqueName index="343" name="[Sheet1].[order_time].&amp;[1899-12-30T18:31:11]"/>
            <x15:cachedUniqueName index="344" name="[Sheet1].[order_time].&amp;[1899-12-30T18:31:36]"/>
            <x15:cachedUniqueName index="345" name="[Sheet1].[order_time].&amp;[1899-12-30T18:32:33]"/>
            <x15:cachedUniqueName index="346" name="[Sheet1].[order_time].&amp;[1899-12-30T18:32:48]"/>
            <x15:cachedUniqueName index="347" name="[Sheet1].[order_time].&amp;[1899-12-30T18:33:59]"/>
            <x15:cachedUniqueName index="348" name="[Sheet1].[order_time].&amp;[1899-12-30T18:34:38]"/>
            <x15:cachedUniqueName index="349" name="[Sheet1].[order_time].&amp;[1899-12-30T18:35:20]"/>
            <x15:cachedUniqueName index="350" name="[Sheet1].[order_time].&amp;[1899-12-30T18:37:07]"/>
            <x15:cachedUniqueName index="351" name="[Sheet1].[order_time].&amp;[1899-12-30T18:37:08]"/>
            <x15:cachedUniqueName index="352" name="[Sheet1].[order_time].&amp;[1899-12-30T18:38:00]"/>
            <x15:cachedUniqueName index="353" name="[Sheet1].[order_time].&amp;[1899-12-30T18:40:57]"/>
            <x15:cachedUniqueName index="354" name="[Sheet1].[order_time].&amp;[1899-12-30T18:41:54]"/>
            <x15:cachedUniqueName index="355" name="[Sheet1].[order_time].&amp;[1899-12-30T18:42:25]"/>
            <x15:cachedUniqueName index="356" name="[Sheet1].[order_time].&amp;[1899-12-30T18:44:02]"/>
            <x15:cachedUniqueName index="357" name="[Sheet1].[order_time].&amp;[1899-12-30T18:45:28]"/>
            <x15:cachedUniqueName index="358" name="[Sheet1].[order_time].&amp;[1899-12-30T18:45:53]"/>
            <x15:cachedUniqueName index="359" name="[Sheet1].[order_time].&amp;[1899-12-30T18:50:51]"/>
            <x15:cachedUniqueName index="360" name="[Sheet1].[order_time].&amp;[1899-12-30T18:52:41]"/>
            <x15:cachedUniqueName index="361" name="[Sheet1].[order_time].&amp;[1899-12-30T18:53:30]"/>
            <x15:cachedUniqueName index="362" name="[Sheet1].[order_time].&amp;[1899-12-30T18:54:29]"/>
            <x15:cachedUniqueName index="363" name="[Sheet1].[order_time].&amp;[1899-12-30T18:55:19]"/>
            <x15:cachedUniqueName index="364" name="[Sheet1].[order_time].&amp;[1899-12-30T18:56:26]"/>
            <x15:cachedUniqueName index="365" name="[Sheet1].[order_time].&amp;[1899-12-30T18:58:20]"/>
            <x15:cachedUniqueName index="366" name="[Sheet1].[order_time].&amp;[1899-12-30T18:58:28]"/>
            <x15:cachedUniqueName index="367" name="[Sheet1].[order_time].&amp;[1899-12-30T19:01:22]"/>
            <x15:cachedUniqueName index="368" name="[Sheet1].[order_time].&amp;[1899-12-30T19:02:27]"/>
            <x15:cachedUniqueName index="369" name="[Sheet1].[order_time].&amp;[1899-12-30T19:02:37]"/>
            <x15:cachedUniqueName index="370" name="[Sheet1].[order_time].&amp;[1899-12-30T19:03:46]"/>
            <x15:cachedUniqueName index="371" name="[Sheet1].[order_time].&amp;[1899-12-30T19:03:59]"/>
            <x15:cachedUniqueName index="372" name="[Sheet1].[order_time].&amp;[1899-12-30T19:04:35]"/>
            <x15:cachedUniqueName index="373" name="[Sheet1].[order_time].&amp;[1899-12-30T19:06:46]"/>
            <x15:cachedUniqueName index="374" name="[Sheet1].[order_time].&amp;[1899-12-30T19:06:59]"/>
            <x15:cachedUniqueName index="375" name="[Sheet1].[order_time].&amp;[1899-12-30T19:08:13]"/>
            <x15:cachedUniqueName index="376" name="[Sheet1].[order_time].&amp;[1899-12-30T19:08:27]"/>
            <x15:cachedUniqueName index="377" name="[Sheet1].[order_time].&amp;[1899-12-30T19:09:56]"/>
            <x15:cachedUniqueName index="378" name="[Sheet1].[order_time].&amp;[1899-12-30T19:10:02]"/>
            <x15:cachedUniqueName index="379" name="[Sheet1].[order_time].&amp;[1899-12-30T19:10:52]"/>
            <x15:cachedUniqueName index="380" name="[Sheet1].[order_time].&amp;[1899-12-30T19:12:14]"/>
            <x15:cachedUniqueName index="381" name="[Sheet1].[order_time].&amp;[1899-12-30T19:13:05]"/>
            <x15:cachedUniqueName index="382" name="[Sheet1].[order_time].&amp;[1899-12-30T19:15:37]"/>
            <x15:cachedUniqueName index="383" name="[Sheet1].[order_time].&amp;[1899-12-30T19:15:54]"/>
            <x15:cachedUniqueName index="384" name="[Sheet1].[order_time].&amp;[1899-12-30T19:20:35]"/>
            <x15:cachedUniqueName index="385" name="[Sheet1].[order_time].&amp;[1899-12-30T19:22:07]"/>
            <x15:cachedUniqueName index="386" name="[Sheet1].[order_time].&amp;[1899-12-30T19:22:17]"/>
            <x15:cachedUniqueName index="387" name="[Sheet1].[order_time].&amp;[1899-12-30T19:23:32]"/>
            <x15:cachedUniqueName index="388" name="[Sheet1].[order_time].&amp;[1899-12-30T19:24:05]"/>
            <x15:cachedUniqueName index="389" name="[Sheet1].[order_time].&amp;[1899-12-30T19:25:04]"/>
            <x15:cachedUniqueName index="390" name="[Sheet1].[order_time].&amp;[1899-12-30T19:26:11]"/>
            <x15:cachedUniqueName index="391" name="[Sheet1].[order_time].&amp;[1899-12-30T19:26:46]"/>
            <x15:cachedUniqueName index="392" name="[Sheet1].[order_time].&amp;[1899-12-30T19:28:51]"/>
            <x15:cachedUniqueName index="393" name="[Sheet1].[order_time].&amp;[1899-12-30T19:28:53]"/>
            <x15:cachedUniqueName index="394" name="[Sheet1].[order_time].&amp;[1899-12-30T19:29:17]"/>
            <x15:cachedUniqueName index="395" name="[Sheet1].[order_time].&amp;[1899-12-30T19:30:12]"/>
            <x15:cachedUniqueName index="396" name="[Sheet1].[order_time].&amp;[1899-12-30T19:30:32]"/>
            <x15:cachedUniqueName index="397" name="[Sheet1].[order_time].&amp;[1899-12-30T19:30:40]"/>
            <x15:cachedUniqueName index="398" name="[Sheet1].[order_time].&amp;[1899-12-30T19:32:06]"/>
            <x15:cachedUniqueName index="399" name="[Sheet1].[order_time].&amp;[1899-12-30T19:32:57]"/>
            <x15:cachedUniqueName index="400" name="[Sheet1].[order_time].&amp;[1899-12-30T19:35:46]"/>
            <x15:cachedUniqueName index="401" name="[Sheet1].[order_time].&amp;[1899-12-30T19:39:04]"/>
            <x15:cachedUniqueName index="402" name="[Sheet1].[order_time].&amp;[1899-12-30T19:40:46]"/>
            <x15:cachedUniqueName index="403" name="[Sheet1].[order_time].&amp;[1899-12-30T19:41:07]"/>
            <x15:cachedUniqueName index="404" name="[Sheet1].[order_time].&amp;[1899-12-30T19:43:49]"/>
            <x15:cachedUniqueName index="405" name="[Sheet1].[order_time].&amp;[1899-12-30T19:45:14]"/>
            <x15:cachedUniqueName index="406" name="[Sheet1].[order_time].&amp;[1899-12-30T19:47:28]"/>
            <x15:cachedUniqueName index="407" name="[Sheet1].[order_time].&amp;[1899-12-30T19:49:28]"/>
            <x15:cachedUniqueName index="408" name="[Sheet1].[order_time].&amp;[1899-12-30T19:50:49]"/>
            <x15:cachedUniqueName index="409" name="[Sheet1].[order_time].&amp;[1899-12-30T19:52:49]"/>
            <x15:cachedUniqueName index="410" name="[Sheet1].[order_time].&amp;[1899-12-30T19:56:23]"/>
            <x15:cachedUniqueName index="411" name="[Sheet1].[order_time].&amp;[1899-12-30T19:57:12]"/>
            <x15:cachedUniqueName index="412" name="[Sheet1].[order_time].&amp;[1899-12-30T19:57:23]"/>
            <x15:cachedUniqueName index="413" name="[Sheet1].[order_time].&amp;[1899-12-30T19:58:15]"/>
            <x15:cachedUniqueName index="414" name="[Sheet1].[order_time].&amp;[1899-12-30T19:58:47]"/>
            <x15:cachedUniqueName index="415" name="[Sheet1].[order_time].&amp;[1899-12-30T19:59:17]"/>
            <x15:cachedUniqueName index="416" name="[Sheet1].[order_time].&amp;[1899-12-30T19:59:49]"/>
            <x15:cachedUniqueName index="417" name="[Sheet1].[order_time].&amp;[1899-12-30T20:00:27]"/>
            <x15:cachedUniqueName index="418" name="[Sheet1].[order_time].&amp;[1899-12-30T20:02:44]"/>
            <x15:cachedUniqueName index="419" name="[Sheet1].[order_time].&amp;[1899-12-30T20:03:12]"/>
            <x15:cachedUniqueName index="420" name="[Sheet1].[order_time].&amp;[1899-12-30T20:05:28]"/>
            <x15:cachedUniqueName index="421" name="[Sheet1].[order_time].&amp;[1899-12-30T20:05:41]"/>
            <x15:cachedUniqueName index="422" name="[Sheet1].[order_time].&amp;[1899-12-30T20:07:14]"/>
            <x15:cachedUniqueName index="423" name="[Sheet1].[order_time].&amp;[1899-12-30T20:07:16]"/>
            <x15:cachedUniqueName index="424" name="[Sheet1].[order_time].&amp;[1899-12-30T20:08:08]"/>
            <x15:cachedUniqueName index="425" name="[Sheet1].[order_time].&amp;[1899-12-30T20:10:21]"/>
            <x15:cachedUniqueName index="426" name="[Sheet1].[order_time].&amp;[1899-12-30T20:10:24]"/>
            <x15:cachedUniqueName index="427" name="[Sheet1].[order_time].&amp;[1899-12-30T20:12:02]"/>
            <x15:cachedUniqueName index="428" name="[Sheet1].[order_time].&amp;[1899-12-30T20:12:59]"/>
            <x15:cachedUniqueName index="429" name="[Sheet1].[order_time].&amp;[1899-12-30T20:13:38]"/>
            <x15:cachedUniqueName index="430" name="[Sheet1].[order_time].&amp;[1899-12-30T20:14:20]"/>
            <x15:cachedUniqueName index="431" name="[Sheet1].[order_time].&amp;[1899-12-30T20:17:07]"/>
            <x15:cachedUniqueName index="432" name="[Sheet1].[order_time].&amp;[1899-12-30T20:17:11]"/>
            <x15:cachedUniqueName index="433" name="[Sheet1].[order_time].&amp;[1899-12-30T20:18:15]"/>
            <x15:cachedUniqueName index="434" name="[Sheet1].[order_time].&amp;[1899-12-30T20:18:48]"/>
            <x15:cachedUniqueName index="435" name="[Sheet1].[order_time].&amp;[1899-12-30T20:20:58]"/>
            <x15:cachedUniqueName index="436" name="[Sheet1].[order_time].&amp;[1899-12-30T20:26:22]"/>
            <x15:cachedUniqueName index="437" name="[Sheet1].[order_time].&amp;[1899-12-30T20:42:03]"/>
            <x15:cachedUniqueName index="438" name="[Sheet1].[order_time].&amp;[1899-12-30T20:42:21]"/>
            <x15:cachedUniqueName index="439" name="[Sheet1].[order_time].&amp;[1899-12-30T20:45:04]"/>
            <x15:cachedUniqueName index="440" name="[Sheet1].[order_time].&amp;[1899-12-30T20:45:10]"/>
            <x15:cachedUniqueName index="441" name="[Sheet1].[order_time].&amp;[1899-12-30T20:48:13]"/>
            <x15:cachedUniqueName index="442" name="[Sheet1].[order_time].&amp;[1899-12-30T20:51:35]"/>
            <x15:cachedUniqueName index="443" name="[Sheet1].[order_time].&amp;[1899-12-30T20:56:37]"/>
            <x15:cachedUniqueName index="444" name="[Sheet1].[order_time].&amp;[1899-12-30T21:00:14]"/>
            <x15:cachedUniqueName index="445" name="[Sheet1].[order_time].&amp;[1899-12-30T21:01:27]"/>
            <x15:cachedUniqueName index="446" name="[Sheet1].[order_time].&amp;[1899-12-30T21:01:33]"/>
            <x15:cachedUniqueName index="447" name="[Sheet1].[order_time].&amp;[1899-12-30T21:02:28]"/>
            <x15:cachedUniqueName index="448" name="[Sheet1].[order_time].&amp;[1899-12-30T21:05:28]"/>
            <x15:cachedUniqueName index="449" name="[Sheet1].[order_time].&amp;[1899-12-30T21:06:54]"/>
            <x15:cachedUniqueName index="450" name="[Sheet1].[order_time].&amp;[1899-12-30T21:08:21]"/>
            <x15:cachedUniqueName index="451" name="[Sheet1].[order_time].&amp;[1899-12-30T21:10:51]"/>
            <x15:cachedUniqueName index="452" name="[Sheet1].[order_time].&amp;[1899-12-30T21:11:22]"/>
            <x15:cachedUniqueName index="453" name="[Sheet1].[order_time].&amp;[1899-12-30T21:15:54]"/>
            <x15:cachedUniqueName index="454" name="[Sheet1].[order_time].&amp;[1899-12-30T21:20:18]"/>
            <x15:cachedUniqueName index="455" name="[Sheet1].[order_time].&amp;[1899-12-30T21:20:32]"/>
            <x15:cachedUniqueName index="456" name="[Sheet1].[order_time].&amp;[1899-12-30T21:22:34]"/>
            <x15:cachedUniqueName index="457" name="[Sheet1].[order_time].&amp;[1899-12-30T21:23:27]"/>
            <x15:cachedUniqueName index="458" name="[Sheet1].[order_time].&amp;[1899-12-30T21:26:18]"/>
            <x15:cachedUniqueName index="459" name="[Sheet1].[order_time].&amp;[1899-12-30T21:28:18]"/>
            <x15:cachedUniqueName index="460" name="[Sheet1].[order_time].&amp;[1899-12-30T21:33:53]"/>
            <x15:cachedUniqueName index="461" name="[Sheet1].[order_time].&amp;[1899-12-30T21:33:56]"/>
            <x15:cachedUniqueName index="462" name="[Sheet1].[order_time].&amp;[1899-12-30T21:35:22]"/>
            <x15:cachedUniqueName index="463" name="[Sheet1].[order_time].&amp;[1899-12-30T21:40:38]"/>
            <x15:cachedUniqueName index="464" name="[Sheet1].[order_time].&amp;[1899-12-30T21:42:16]"/>
            <x15:cachedUniqueName index="465" name="[Sheet1].[order_time].&amp;[1899-12-30T21:47:29]"/>
            <x15:cachedUniqueName index="466" name="[Sheet1].[order_time].&amp;[1899-12-30T21:47:48]"/>
            <x15:cachedUniqueName index="467" name="[Sheet1].[order_time].&amp;[1899-12-30T21:47:55]"/>
            <x15:cachedUniqueName index="468" name="[Sheet1].[order_time].&amp;[1899-12-30T21:52:02]"/>
            <x15:cachedUniqueName index="469" name="[Sheet1].[order_time].&amp;[1899-12-30T21:54:53]"/>
            <x15:cachedUniqueName index="470" name="[Sheet1].[order_time].&amp;[1899-12-30T22:01:38]"/>
            <x15:cachedUniqueName index="471" name="[Sheet1].[order_time].&amp;[1899-12-30T22:05:04]"/>
            <x15:cachedUniqueName index="472" name="[Sheet1].[order_time].&amp;[1899-12-30T22:07:54]"/>
            <x15:cachedUniqueName index="473" name="[Sheet1].[order_time].&amp;[1899-12-30T22:10:10]"/>
            <x15:cachedUniqueName index="474" name="[Sheet1].[order_time].&amp;[1899-12-30T22:12:29]"/>
            <x15:cachedUniqueName index="475" name="[Sheet1].[order_time].&amp;[1899-12-30T22:13:59]"/>
            <x15:cachedUniqueName index="476" name="[Sheet1].[order_time].&amp;[1899-12-30T22:18:40]"/>
            <x15:cachedUniqueName index="477" name="[Sheet1].[order_time].&amp;[1899-12-30T22:22:24]"/>
            <x15:cachedUniqueName index="478" name="[Sheet1].[order_time].&amp;[1899-12-30T22:24:33]"/>
            <x15:cachedUniqueName index="479" name="[Sheet1].[order_time].&amp;[1899-12-30T22:25:00]"/>
            <x15:cachedUniqueName index="480" name="[Sheet1].[order_time].&amp;[1899-12-30T22:29:57]"/>
            <x15:cachedUniqueName index="481" name="[Sheet1].[order_time].&amp;[1899-12-30T22:29:59]"/>
            <x15:cachedUniqueName index="482" name="[Sheet1].[order_time].&amp;[1899-12-30T22:30:44]"/>
            <x15:cachedUniqueName index="483" name="[Sheet1].[order_time].&amp;[1899-12-30T23:04:54]"/>
            <x15:cachedUniqueName index="484" name="[Sheet1].[order_time].&amp;[1899-12-30T23:05:17]"/>
          </x15:cachedUniqueNames>
        </ext>
      </extLst>
    </cacheField>
    <cacheField name="[Sheet1].[order_time (Hour)].[order_time (Hour)]" caption="order_time (Hour)" numFmtId="0" hierarchy="13" level="1">
      <sharedItems count="13">
        <s v="11"/>
        <s v="12"/>
        <s v="13"/>
        <s v="14"/>
        <s v="15"/>
        <s v="16"/>
        <s v="17"/>
        <s v="18"/>
        <s v="19"/>
        <s v="20"/>
        <s v="21"/>
        <s v="22"/>
        <s v="23"/>
      </sharedItems>
    </cacheField>
    <cacheField name="[Measures].[Sum of total_price]" caption="Sum of total_price" numFmtId="0" hierarchy="17"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2" memberValueDatatype="7" unbalanced="0">
      <fieldsUsage count="2">
        <fieldUsage x="-1"/>
        <fieldUsage x="0"/>
      </fieldsUsage>
    </cacheHierarchy>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3"/>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fieldsUsage count="2">
        <fieldUsage x="-1"/>
        <fieldUsage x="1"/>
      </fieldsUsage>
    </cacheHierarchy>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2"/>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7546298" backgroundQuery="1" createdVersion="8" refreshedVersion="8" minRefreshableVersion="3" recordCount="0" supportSubquery="1" supportAdvancedDrill="1" xr:uid="{CBC120C0-48CF-4540-85FC-8D91E1DB43C7}">
  <cacheSource type="external" connectionId="2"/>
  <cacheFields count="3">
    <cacheField name="[Sheet1].[Customer Name].[Customer Name]" caption="Customer Name" numFmtId="0" hierarchy="2" level="1">
      <sharedItems count="10">
        <s v="Andrew Hernandez"/>
        <s v="Brandon Williams"/>
        <s v="Christopher Turner"/>
        <s v="Courtney Young"/>
        <s v="Daniel Parker"/>
        <s v="Dylan Nelson"/>
        <s v="Emily Parker"/>
        <s v="Emily Young"/>
        <s v="Noah Scott"/>
        <s v="Stephanie Allen"/>
      </sharedItems>
    </cacheField>
    <cacheField name="[Measures].[Sum of total_price]" caption="Sum of total_price" numFmtId="0" hierarchy="17"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0"/>
      </fieldsUsage>
    </cacheHierarchy>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2"/>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8124999" backgroundQuery="1" createdVersion="8" refreshedVersion="8" minRefreshableVersion="3" recordCount="0" supportSubquery="1" supportAdvancedDrill="1" xr:uid="{94FCBF11-4BA4-4691-B58D-8B1101747D4A}">
  <cacheSource type="external" connectionId="2"/>
  <cacheFields count="3">
    <cacheField name="[Sheet1].[Customer Name].[Customer Name]" caption="Customer Name" numFmtId="0" hierarchy="2" level="1">
      <sharedItems count="10">
        <s v="Alexis Smith"/>
        <s v="Amanda Young"/>
        <s v="Amber Carter"/>
        <s v="Amber Evans"/>
        <s v="Andrew Hernandez"/>
        <s v="Ashley Parker"/>
        <s v="Brandon Williams"/>
        <s v="Courtney Young"/>
        <s v="Daniel Parker"/>
        <s v="Emily Young"/>
      </sharedItems>
    </cacheField>
    <cacheField name="[Measures].[Sum of quantity]" caption="Sum of quantity" numFmtId="0" hierarchy="18"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0"/>
      </fieldsUsage>
    </cacheHierarchy>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2"/>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oneField="1">
      <fieldsUsage count="1">
        <fieldUsage x="1"/>
      </fieldsUsage>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8472222" backgroundQuery="1" createdVersion="8" refreshedVersion="8" minRefreshableVersion="3" recordCount="0" supportSubquery="1" supportAdvancedDrill="1" xr:uid="{97BEA293-4090-459D-94AA-80258FF78240}">
  <cacheSource type="external" connectionId="2"/>
  <cacheFields count="3">
    <cacheField name="[Sheet1].[pizza_name].[pizza_name]" caption="pizza_name" numFmtId="0" hierarchy="11" level="1">
      <sharedItems count="5">
        <s v="The Barbecue Chicken Pizza"/>
        <s v="The Classic Deluxe Pizza"/>
        <s v="The Four Cheese Pizza"/>
        <s v="The Hawaiian Pizza"/>
        <s v="The Thai Chicken Pizza"/>
      </sharedItems>
    </cacheField>
    <cacheField name="[Measures].[Sum of total_price]" caption="Sum of total_price" numFmtId="0" hierarchy="17" level="32767"/>
    <cacheField name="[Sheet1].[pizza_size].[pizza_size]" caption="pizza_size" numFmtId="0" hierarchy="8" level="1">
      <sharedItems count="3">
        <s v="L"/>
        <s v="M"/>
        <s v="S"/>
      </sharedItems>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2"/>
      </fieldsUsage>
    </cacheHierarchy>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fieldsUsage count="2">
        <fieldUsage x="-1"/>
        <fieldUsage x="0"/>
      </fieldsUsage>
    </cacheHierarchy>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7.482628819445" backgroundQuery="1" createdVersion="8" refreshedVersion="8" minRefreshableVersion="3" recordCount="0" supportSubquery="1" supportAdvancedDrill="1" xr:uid="{7BCA5C48-8A14-4756-AC29-6FE0AC143FAB}">
  <cacheSource type="external" connectionId="2"/>
  <cacheFields count="3">
    <cacheField name="[Sheet1].[pizza_category].[pizza_category]" caption="pizza_category" numFmtId="0" hierarchy="9" level="1">
      <sharedItems count="4">
        <s v="Chicken"/>
        <s v="Classic"/>
        <s v="Supreme"/>
        <s v="Veggie"/>
      </sharedItems>
    </cacheField>
    <cacheField name="[Measures].[Sum of total_price]" caption="Sum of total_price" numFmtId="0" hierarchy="17" level="32767"/>
    <cacheField name="[Sheet1].[pizza_size].[pizza_size]" caption="pizza_size" numFmtId="0" hierarchy="8" level="1">
      <sharedItems containsSemiMixedTypes="0" containsNonDate="0" containsString="0"/>
    </cacheField>
  </cacheFields>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fieldsUsage count="2">
        <fieldUsage x="-1"/>
        <fieldUsage x="2"/>
      </fieldsUsage>
    </cacheHierarchy>
    <cacheHierarchy uniqueName="[Sheet1].[pizza_category]" caption="pizza_category" attribute="1" defaultMemberUniqueName="[Sheet1].[pizza_category].[All]" allUniqueName="[Sheet1].[pizza_category].[All]" dimensionUniqueName="[Sheet1]" displayFolder="" count="2" memberValueDatatype="130" unbalanced="0">
      <fieldsUsage count="2">
        <fieldUsage x="-1"/>
        <fieldUsage x="0"/>
      </fieldsUsage>
    </cacheHierarchy>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Radi" refreshedDate="46076.460401504628" backgroundQuery="1" createdVersion="3" refreshedVersion="8" minRefreshableVersion="3" recordCount="0" supportSubquery="1" supportAdvancedDrill="1" xr:uid="{2B128DBC-9515-4DC3-BCE8-7FE8CB0AA4F8}">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Sheet1].[order_id]" caption="order_id" attribute="1" defaultMemberUniqueName="[Sheet1].[order_id].[All]" allUniqueName="[Sheet1].[order_id].[All]" dimensionUniqueName="[Sheet1]" displayFolder="" count="0" memberValueDatatype="20" unbalanced="0"/>
    <cacheHierarchy uniqueName="[Sheet1].[pizza_id]" caption="pizza_id" attribute="1" defaultMemberUniqueName="[Sheet1].[pizza_id].[All]" allUniqueName="[Sheet1].[pizza_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time]" caption="order_time" attribute="1" time="1" defaultMemberUniqueName="[Sheet1].[order_time].[All]" allUniqueName="[Sheet1].[order_time].[All]" dimensionUniqueName="[Sheet1]" displayFolder="" count="0" memberValueDatatype="7" unbalanced="0"/>
    <cacheHierarchy uniqueName="[Sheet1].[unit_price]" caption="unit_price" attribute="1" defaultMemberUniqueName="[Sheet1].[unit_price].[All]" allUniqueName="[Sheet1].[unit_price].[All]" dimensionUniqueName="[Sheet1]" displayFolder="" count="0" memberValueDatatype="5" unbalanced="0"/>
    <cacheHierarchy uniqueName="[Sheet1].[total_price]" caption="total_price" attribute="1" defaultMemberUniqueName="[Sheet1].[total_price].[All]" allUniqueName="[Sheet1].[total_price].[All]" dimensionUniqueName="[Sheet1]" displayFolder="" count="0" memberValueDatatype="5" unbalanced="0"/>
    <cacheHierarchy uniqueName="[Sheet1].[pizza_size]" caption="pizza_size" attribute="1" defaultMemberUniqueName="[Sheet1].[pizza_size].[All]" allUniqueName="[Sheet1].[pizza_size].[All]" dimensionUniqueName="[Sheet1]" displayFolder="" count="2" memberValueDatatype="130" unbalanced="0"/>
    <cacheHierarchy uniqueName="[Sheet1].[pizza_category]" caption="pizza_category" attribute="1" defaultMemberUniqueName="[Sheet1].[pizza_category].[All]" allUniqueName="[Sheet1].[pizza_category].[All]" dimensionUniqueName="[Sheet1]" displayFolder="" count="2" memberValueDatatype="130" unbalanced="0"/>
    <cacheHierarchy uniqueName="[Sheet1].[pizza_ingredients]" caption="pizza_ingredients" attribute="1" defaultMemberUniqueName="[Sheet1].[pizza_ingredients].[All]" allUniqueName="[Sheet1].[pizza_ingredients].[All]" dimensionUniqueName="[Sheet1]" displayFolder="" count="0" memberValueDatatype="130" unbalanced="0"/>
    <cacheHierarchy uniqueName="[Sheet1].[pizza_name]" caption="pizza_name" attribute="1" defaultMemberUniqueName="[Sheet1].[pizza_name].[All]" allUniqueName="[Sheet1].[pizza_name].[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time (Hour)]" caption="order_time (Hour)" attribute="1" defaultMemberUniqueName="[Sheet1].[order_time (Hour)].[All]" allUniqueName="[Sheet1].[order_time (Hour)].[All]" dimensionUniqueName="[Sheet1]" displayFolder="" count="2" memberValueDatatype="130" unbalanced="0"/>
    <cacheHierarchy uniqueName="[Sheet1].[order_time (Minute)]" caption="order_time (Minute)" attribute="1" defaultMemberUniqueName="[Sheet1].[order_time (Minute)].[All]" allUniqueName="[Sheet1].[order_time (Minute)].[All]" dimensionUniqueName="[Sheet1]" displayFolder="" count="0" memberValueDatatype="130" unbalanced="0"/>
    <cacheHierarchy uniqueName="[Sheet1].[order_time (Second)]" caption="order_time (Second)" attribute="1" defaultMemberUniqueName="[Sheet1].[order_time (Second)].[All]" allUniqueName="[Sheet1].[order_time (Second)].[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Sum of total_price]" caption="Sum of total_price" measure="1" displayFolder="" measureGroup="Sheet1"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3"/>
        </ext>
      </extLst>
    </cacheHierarchy>
    <cacheHierarchy uniqueName="[Measures].[Total customers]" caption="Total customers" measure="1" displayFolder="" measureGroup="Sheet1" count="0"/>
    <cacheHierarchy uniqueName="[Measures].[Total sales]" caption="Total sales" measure="1" displayFolder="" measureGroup="Sheet1" count="0"/>
    <cacheHierarchy uniqueName="[Measures].[Avg price per unit]" caption="Avg price per unit" measure="1" displayFolder="" measureGroup="Sheet1" count="0"/>
    <cacheHierarchy uniqueName="[Measures].[Total Quantity]" caption="Total Quantity" measure="1" displayFolder="" measureGroup="Sheet1" count="0"/>
    <cacheHierarchy uniqueName="[Measures].[sales per customer]" caption="sales per customer" measure="1" displayFolder="" measureGroup="Sheet1" count="0"/>
    <cacheHierarchy uniqueName="[Measures].[sales per quantity]" caption="sales per quantity" measure="1" displayFolder="" measureGroup="Sheet1" count="0"/>
    <cacheHierarchy uniqueName="[Measures].[Measure 1]" caption="Measure 1" measure="1" displayFolder="" measureGroup="Sheet1" count="0"/>
    <cacheHierarchy uniqueName="[Measures].[Measure 2]" caption="Measure 2" measure="1" displayFolder="" measureGroup="Sheet1" count="0"/>
    <cacheHierarchy uniqueName="[Measures].[Measure 3]" caption="Measure 3" measure="1" displayFolder="" measureGroup="Sheet1" count="0"/>
    <cacheHierarchy uniqueName="[Measures].[Measure 4]" caption="Measure 4" measure="1" displayFolder="" measureGroup="Sheet1" count="0"/>
    <cacheHierarchy uniqueName="[Measures].[Measure 5]" caption="Measure 5"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60193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B26F54-6C80-4EC7-B43D-2537BE30D081}" name="Quantity By Size" cacheId="326" applyNumberFormats="0" applyBorderFormats="0" applyFontFormats="0" applyPatternFormats="0" applyAlignmentFormats="0" applyWidthHeightFormats="1" dataCaption="Values" tag="bf3f3311-8d87-4cfd-a6da-78c90229ef27" updatedVersion="8" minRefreshableVersion="3" useAutoFormatting="1" subtotalHiddenItems="1" itemPrintTitles="1" createdVersion="8" indent="0" outline="1" outlineData="1" multipleFieldFilters="0" chartFormat="23">
  <location ref="L106:M11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Sum of quantity" fld="1" baseField="0" baseItem="0"/>
  </dataFields>
  <chartFormats count="10">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2"/>
          </reference>
        </references>
      </pivotArea>
    </chartFormat>
    <chartFormat chart="14" format="8">
      <pivotArea type="data" outline="0" fieldPosition="0">
        <references count="2">
          <reference field="4294967294" count="1" selected="0">
            <x v="0"/>
          </reference>
          <reference field="0" count="1" selected="0">
            <x v="0"/>
          </reference>
        </references>
      </pivotArea>
    </chartFormat>
    <chartFormat chart="14" format="9">
      <pivotArea type="data" outline="0" fieldPosition="0">
        <references count="2">
          <reference field="4294967294" count="1" selected="0">
            <x v="0"/>
          </reference>
          <reference field="0" count="1" selected="0">
            <x v="1"/>
          </reference>
        </references>
      </pivotArea>
    </chartFormat>
    <chartFormat chart="14" format="10">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85BD4C-929B-4064-AB38-581125F19EA7}" name="Top 5 pizza" cacheId="392" applyNumberFormats="0" applyBorderFormats="0" applyFontFormats="0" applyPatternFormats="0" applyAlignmentFormats="0" applyWidthHeightFormats="1" dataCaption="Values" tag="71dfdb23-13b4-4147-b5c8-2a410527f27b" updatedVersion="8" minRefreshableVersion="3" useAutoFormatting="1" subtotalHiddenItems="1" itemPrintTitles="1" createdVersion="8" indent="0" outline="1" outlineData="1" multipleFieldFilters="0" chartFormat="21">
  <location ref="C79:D85"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i>
    <i>
      <x v="4"/>
    </i>
    <i>
      <x v="2"/>
    </i>
    <i>
      <x v="1"/>
    </i>
    <i>
      <x v="3"/>
    </i>
    <i t="grand">
      <x/>
    </i>
  </rowItems>
  <colItems count="1">
    <i/>
  </colItems>
  <dataFields count="1">
    <dataField name="Sum of total_price" fld="1" baseField="0" baseItem="23" numFmtId="165"/>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11"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filters count="1">
    <filter fld="0" type="count" id="3" iMeasureHier="17">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C3F1F-8377-413E-9167-D68786B70C77}" name="Quantities By Category &amp; Size" cacheId="380" applyNumberFormats="0" applyBorderFormats="0" applyFontFormats="0" applyPatternFormats="0" applyAlignmentFormats="0" applyWidthHeightFormats="1" dataCaption="Values" tag="1f1d9b9e-b5b4-4ef0-89fe-b74110e61b19" updatedVersion="8" minRefreshableVersion="3" useAutoFormatting="1" subtotalHiddenItems="1" itemPrintTitles="1" createdVersion="8" indent="0" outline="1" outlineData="1" multipleFieldFilters="0" chartFormat="23">
  <location ref="H49:M55" firstHeaderRow="1" firstDataRow="2"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v="2"/>
    </i>
    <i>
      <x/>
    </i>
    <i>
      <x v="1"/>
    </i>
    <i>
      <x v="3"/>
    </i>
    <i t="grand">
      <x/>
    </i>
  </rowItems>
  <colFields count="1">
    <field x="1"/>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8CA484-4C29-42FC-BE24-FC1448F63A6B}" name="top 10 customers" cacheId="386" applyNumberFormats="0" applyBorderFormats="0" applyFontFormats="0" applyPatternFormats="0" applyAlignmentFormats="0" applyWidthHeightFormats="1" dataCaption="Values" tag="a0fb49ce-996c-4cb7-9102-9f6d700e1bd3" updatedVersion="8" minRefreshableVersion="3" useAutoFormatting="1" subtotalHiddenItems="1" itemPrintTitles="1" createdVersion="8" indent="0" outline="1" outlineData="1" multipleFieldFilters="0" chartFormat="14">
  <location ref="C13:D24" firstHeaderRow="1" firstDataRow="1" firstDataCol="1"/>
  <pivotFields count="3">
    <pivotField name="top 10 customers"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6"/>
    </i>
    <i>
      <x v="5"/>
    </i>
    <i>
      <x v="2"/>
    </i>
    <i>
      <x v="8"/>
    </i>
    <i>
      <x v="7"/>
    </i>
    <i>
      <x v="1"/>
    </i>
    <i>
      <x v="4"/>
    </i>
    <i>
      <x/>
    </i>
    <i>
      <x v="3"/>
    </i>
    <i t="grand">
      <x/>
    </i>
  </rowItems>
  <colItems count="1">
    <i/>
  </colItems>
  <dataFields count="1">
    <dataField name="Sum of total_price" fld="1"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caption="top 10 customers"/>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1CECC-72DE-474E-8F4E-1A2AF79579FC}" name="top category in sales" cacheId="395" applyNumberFormats="0" applyBorderFormats="0" applyFontFormats="0" applyPatternFormats="0" applyAlignmentFormats="0" applyWidthHeightFormats="1" dataCaption="Values" tag="2e9b0051-8df3-413f-8263-db2415b0f96d" updatedVersion="8" minRefreshableVersion="3" useAutoFormatting="1" subtotalHiddenItems="1" itemPrintTitles="1" createdVersion="8" indent="0" outline="1" outlineData="1" multipleFieldFilters="0" chartFormat="16">
  <location ref="I80:J85" firstHeaderRow="1" firstDataRow="1" firstDataCol="1"/>
  <pivotFields count="3">
    <pivotField name="top category in sales"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m of total_price" fld="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caption="top category in sales"/>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2D404B-D810-4CB5-8B0A-0645FF08B85E}" name="PivotTable10" cacheId="377" dataOnRows="1" applyNumberFormats="0" applyBorderFormats="0" applyFontFormats="0" applyPatternFormats="0" applyAlignmentFormats="0" applyWidthHeightFormats="1" dataCaption="Values" tag="c4a0d63e-f167-4dfc-9bb5-7a8429a71269" updatedVersion="8" minRefreshableVersion="3" useAutoFormatting="1" subtotalHiddenItems="1" itemPrintTitles="1" createdVersion="8" indent="0" outline="1" outlineData="1" multipleFieldFilters="0">
  <location ref="B141:C146"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2">
    <format dxfId="69">
      <pivotArea collapsedLevelsAreSubtotals="1" fieldPosition="0">
        <references count="1">
          <reference field="4294967294" count="1">
            <x v="1"/>
          </reference>
        </references>
      </pivotArea>
    </format>
    <format dxfId="70">
      <pivotArea collapsedLevelsAreSubtotals="1" fieldPosition="0">
        <references count="1">
          <reference field="4294967294" count="1">
            <x v="3"/>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A26BB-32C1-4278-B3B6-5037B6305F9E}" name="sales by time" cacheId="383" applyNumberFormats="0" applyBorderFormats="0" applyFontFormats="0" applyPatternFormats="0" applyAlignmentFormats="0" applyWidthHeightFormats="1" dataCaption="Values" tag="6f39d20e-6c17-4965-8261-198241826105" updatedVersion="8" minRefreshableVersion="3" useAutoFormatting="1" subtotalHiddenItems="1" itemPrintTitles="1" createdVersion="8" indent="0" outline="1" outlineData="1" multipleFieldFilters="0" chartFormat="24">
  <location ref="C44:D58" firstHeaderRow="1" firstDataRow="1" firstDataCol="1"/>
  <pivotFields count="4">
    <pivotField axis="axisRow" allDrilled="1" subtotalTop="0" showAll="0" dataSourceSort="1" defaultSubtotal="0">
      <items count="485">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 x="366" e="0"/>
        <item x="367" e="0"/>
        <item x="368" e="0"/>
        <item x="369" e="0"/>
        <item x="370" e="0"/>
        <item x="371" e="0"/>
        <item x="372" e="0"/>
        <item x="373" e="0"/>
        <item x="374" e="0"/>
        <item x="375" e="0"/>
        <item x="376" e="0"/>
        <item x="377" e="0"/>
        <item x="378" e="0"/>
        <item x="379" e="0"/>
        <item x="380" e="0"/>
        <item x="381" e="0"/>
        <item x="382" e="0"/>
        <item x="383" e="0"/>
        <item x="384" e="0"/>
        <item x="385" e="0"/>
        <item x="386" e="0"/>
        <item x="387" e="0"/>
        <item x="388" e="0"/>
        <item x="389" e="0"/>
        <item x="390" e="0"/>
        <item x="391" e="0"/>
        <item x="392" e="0"/>
        <item x="393" e="0"/>
        <item x="394" e="0"/>
        <item x="395" e="0"/>
        <item x="396" e="0"/>
        <item x="397" e="0"/>
        <item x="398" e="0"/>
        <item x="399" e="0"/>
        <item x="400" e="0"/>
        <item x="401" e="0"/>
        <item x="402" e="0"/>
        <item x="403" e="0"/>
        <item x="404" e="0"/>
        <item x="405" e="0"/>
        <item x="406" e="0"/>
        <item x="407" e="0"/>
        <item x="408" e="0"/>
        <item x="409" e="0"/>
        <item x="410" e="0"/>
        <item x="411" e="0"/>
        <item x="412" e="0"/>
        <item x="413" e="0"/>
        <item x="414" e="0"/>
        <item x="415" e="0"/>
        <item x="416" e="0"/>
        <item x="417" e="0"/>
        <item x="418" e="0"/>
        <item x="419" e="0"/>
        <item x="420" e="0"/>
        <item x="421" e="0"/>
        <item x="422" e="0"/>
        <item x="423" e="0"/>
        <item x="424" e="0"/>
        <item x="425" e="0"/>
        <item x="426" e="0"/>
        <item x="427" e="0"/>
        <item x="428" e="0"/>
        <item x="429" e="0"/>
        <item x="430" e="0"/>
        <item x="431" e="0"/>
        <item x="432" e="0"/>
        <item x="433" e="0"/>
        <item x="434" e="0"/>
        <item x="435" e="0"/>
        <item x="436" e="0"/>
        <item x="437" e="0"/>
        <item x="438" e="0"/>
        <item x="439" e="0"/>
        <item x="440" e="0"/>
        <item x="441" e="0"/>
        <item x="442" e="0"/>
        <item x="443" e="0"/>
        <item x="444" e="0"/>
        <item x="445" e="0"/>
        <item x="446" e="0"/>
        <item x="447" e="0"/>
        <item x="448" e="0"/>
        <item x="449" e="0"/>
        <item x="450" e="0"/>
        <item x="451" e="0"/>
        <item x="452" e="0"/>
        <item x="453" e="0"/>
        <item x="454" e="0"/>
        <item x="455" e="0"/>
        <item x="456" e="0"/>
        <item x="457" e="0"/>
        <item x="458" e="0"/>
        <item x="459" e="0"/>
        <item x="460" e="0"/>
        <item x="461" e="0"/>
        <item x="462" e="0"/>
        <item x="463" e="0"/>
        <item x="464" e="0"/>
        <item x="465" e="0"/>
        <item x="466" e="0"/>
        <item x="467" e="0"/>
        <item x="468" e="0"/>
        <item x="469" e="0"/>
        <item x="470" e="0"/>
        <item x="471" e="0"/>
        <item x="472" e="0"/>
        <item x="473" e="0"/>
        <item x="474" e="0"/>
        <item x="475" e="0"/>
        <item x="476" e="0"/>
        <item x="477" e="0"/>
        <item x="478" e="0"/>
        <item x="479" e="0"/>
        <item x="480" e="0"/>
        <item x="481" e="0"/>
        <item x="482" e="0"/>
        <item x="483" e="0"/>
        <item x="484" e="0"/>
      </items>
    </pivotField>
    <pivotField name="sales in time" axis="axisRow" allDrilled="1" subtotalTop="0" showAll="0" dataSourceSort="1">
      <items count="14">
        <item x="0" e="0"/>
        <item x="1" e="0"/>
        <item x="2" e="0"/>
        <item x="3" e="0"/>
        <item x="4" e="0"/>
        <item x="5" e="0"/>
        <item x="6" e="0"/>
        <item x="7" e="0"/>
        <item x="8" e="0"/>
        <item x="9" e="0"/>
        <item x="10" e="0"/>
        <item x="11" e="0"/>
        <item x="12" e="0"/>
        <item t="default"/>
      </items>
    </pivotField>
    <pivotField dataField="1" subtotalTop="0" showAll="0" defaultSubtotal="0"/>
    <pivotField allDrilled="1" subtotalTop="0" showAll="0" dataSourceSort="1" defaultSubtotal="0" defaultAttributeDrillState="1"/>
  </pivotFields>
  <rowFields count="2">
    <field x="1"/>
    <field x="0"/>
  </rowFields>
  <rowItems count="14">
    <i>
      <x/>
    </i>
    <i>
      <x v="1"/>
    </i>
    <i>
      <x v="2"/>
    </i>
    <i>
      <x v="3"/>
    </i>
    <i>
      <x v="4"/>
    </i>
    <i>
      <x v="5"/>
    </i>
    <i>
      <x v="6"/>
    </i>
    <i>
      <x v="7"/>
    </i>
    <i>
      <x v="8"/>
    </i>
    <i>
      <x v="9"/>
    </i>
    <i>
      <x v="10"/>
    </i>
    <i>
      <x v="11"/>
    </i>
    <i>
      <x v="12"/>
    </i>
    <i t="grand">
      <x/>
    </i>
  </rowItems>
  <colItems count="1">
    <i/>
  </colItems>
  <dataFields count="1">
    <dataField name="Sum of total_price" fld="2" baseField="0" baseItem="0"/>
  </dataFields>
  <formats count="21">
    <format dxfId="71">
      <pivotArea field="1" type="button" dataOnly="0" labelOnly="1" outline="0" axis="axisRow" fieldPosition="0"/>
    </format>
    <format dxfId="72">
      <pivotArea dataOnly="0" labelOnly="1" fieldPosition="0">
        <references count="1">
          <reference field="1" count="0"/>
        </references>
      </pivotArea>
    </format>
    <format dxfId="73">
      <pivotArea dataOnly="0" labelOnly="1" fieldPosition="0">
        <references count="1">
          <reference field="1" count="0" defaultSubtotal="1"/>
        </references>
      </pivotArea>
    </format>
    <format dxfId="74">
      <pivotArea dataOnly="0" labelOnly="1" grandRow="1" outline="0" fieldPosition="0"/>
    </format>
    <format dxfId="75">
      <pivotArea dataOnly="0" labelOnly="1" fieldPosition="0">
        <references count="2">
          <reference field="0" count="50">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reference>
          <reference field="1" count="1" selected="0">
            <x v="7"/>
          </reference>
        </references>
      </pivotArea>
    </format>
    <format dxfId="76">
      <pivotArea dataOnly="0" labelOnly="1" fieldPosition="0">
        <references count="2">
          <reference field="0" count="4">
            <x v="363"/>
            <x v="364"/>
            <x v="365"/>
            <x v="366"/>
          </reference>
          <reference field="1" count="1" selected="0">
            <x v="7"/>
          </reference>
        </references>
      </pivotArea>
    </format>
    <format dxfId="77">
      <pivotArea dataOnly="0" labelOnly="1" fieldPosition="0">
        <references count="2">
          <reference field="0" count="50">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reference>
          <reference field="1" count="1" selected="0">
            <x v="6"/>
          </reference>
        </references>
      </pivotArea>
    </format>
    <format dxfId="78">
      <pivotArea dataOnly="0" labelOnly="1" fieldPosition="0">
        <references count="2">
          <reference field="0" count="20">
            <x v="293"/>
            <x v="294"/>
            <x v="295"/>
            <x v="296"/>
            <x v="297"/>
            <x v="298"/>
            <x v="299"/>
            <x v="300"/>
            <x v="301"/>
            <x v="302"/>
            <x v="303"/>
            <x v="304"/>
            <x v="305"/>
            <x v="306"/>
            <x v="307"/>
            <x v="308"/>
            <x v="309"/>
            <x v="310"/>
            <x v="311"/>
            <x v="312"/>
          </reference>
          <reference field="1" count="1" selected="0">
            <x v="6"/>
          </reference>
        </references>
      </pivotArea>
    </format>
    <format dxfId="79">
      <pivotArea dataOnly="0" labelOnly="1" fieldPosition="0">
        <references count="2">
          <reference field="0" count="50">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 field="1" count="1" selected="0">
            <x v="2"/>
          </reference>
        </references>
      </pivotArea>
    </format>
    <format dxfId="80">
      <pivotArea dataOnly="0" labelOnly="1" fieldPosition="0">
        <references count="2">
          <reference field="0" count="3">
            <x v="129"/>
            <x v="130"/>
            <x v="131"/>
          </reference>
          <reference field="1" count="1" selected="0">
            <x v="2"/>
          </reference>
        </references>
      </pivotArea>
    </format>
    <format dxfId="81">
      <pivotArea dataOnly="0" labelOnly="1" fieldPosition="0">
        <references count="2">
          <reference field="0" count="50">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reference>
          <reference field="1" count="1" selected="0">
            <x v="8"/>
          </reference>
        </references>
      </pivotArea>
    </format>
    <format dxfId="82">
      <pivotArea dataOnly="0" labelOnly="1" fieldPosition="0">
        <references count="2">
          <reference field="0" count="50">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reference>
          <reference field="1" count="1" selected="0">
            <x v="1"/>
          </reference>
        </references>
      </pivotArea>
    </format>
    <format dxfId="83">
      <pivotArea dataOnly="0" labelOnly="1" fieldPosition="0">
        <references count="2">
          <reference field="0" count="4">
            <x v="75"/>
            <x v="76"/>
            <x v="77"/>
            <x v="78"/>
          </reference>
          <reference field="1" count="1" selected="0">
            <x v="1"/>
          </reference>
        </references>
      </pivotArea>
    </format>
    <format dxfId="84">
      <pivotArea dataOnly="0" labelOnly="1" fieldPosition="0">
        <references count="2">
          <reference field="0" count="38">
            <x v="132"/>
            <x v="133"/>
            <x v="134"/>
            <x v="135"/>
            <x v="136"/>
            <x v="137"/>
            <x v="138"/>
            <x v="139"/>
            <x v="140"/>
            <x v="141"/>
            <x v="142"/>
            <x v="143"/>
            <x v="144"/>
            <x v="145"/>
            <x v="146"/>
            <x v="147"/>
            <x v="148"/>
            <x v="149"/>
            <x v="150"/>
            <x v="151"/>
            <x v="152"/>
            <x v="153"/>
            <x v="154"/>
            <x v="155"/>
            <x v="156"/>
            <x v="157"/>
            <x v="158"/>
            <x v="159"/>
            <x v="160"/>
            <x v="161"/>
            <x v="162"/>
            <x v="163"/>
            <x v="164"/>
            <x v="165"/>
            <x v="166"/>
            <x v="167"/>
            <x v="168"/>
            <x v="169"/>
          </reference>
          <reference field="1" count="1" selected="0">
            <x v="3"/>
          </reference>
        </references>
      </pivotArea>
    </format>
    <format dxfId="85">
      <pivotArea dataOnly="0" labelOnly="1" fieldPosition="0">
        <references count="2">
          <reference field="0" count="4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reference>
          <reference field="1" count="1" selected="0">
            <x v="5"/>
          </reference>
        </references>
      </pivotArea>
    </format>
    <format dxfId="86">
      <pivotArea dataOnly="0" labelOnly="1" fieldPosition="0">
        <references count="2">
          <reference field="0" count="32">
            <x v="170"/>
            <x v="171"/>
            <x v="172"/>
            <x v="173"/>
            <x v="174"/>
            <x v="175"/>
            <x v="176"/>
            <x v="177"/>
            <x v="178"/>
            <x v="179"/>
            <x v="180"/>
            <x v="181"/>
            <x v="182"/>
            <x v="183"/>
            <x v="184"/>
            <x v="185"/>
            <x v="186"/>
            <x v="187"/>
            <x v="188"/>
            <x v="189"/>
            <x v="190"/>
            <x v="191"/>
            <x v="192"/>
            <x v="193"/>
            <x v="194"/>
            <x v="195"/>
            <x v="196"/>
            <x v="197"/>
            <x v="198"/>
            <x v="199"/>
            <x v="200"/>
            <x v="201"/>
          </reference>
          <reference field="1" count="1" selected="0">
            <x v="4"/>
          </reference>
        </references>
      </pivotArea>
    </format>
    <format dxfId="87">
      <pivotArea dataOnly="0" labelOnly="1" fieldPosition="0">
        <references count="2">
          <reference field="0" count="26">
            <x v="444"/>
            <x v="445"/>
            <x v="446"/>
            <x v="447"/>
            <x v="448"/>
            <x v="449"/>
            <x v="450"/>
            <x v="451"/>
            <x v="452"/>
            <x v="453"/>
            <x v="454"/>
            <x v="455"/>
            <x v="456"/>
            <x v="457"/>
            <x v="458"/>
            <x v="459"/>
            <x v="460"/>
            <x v="461"/>
            <x v="462"/>
            <x v="463"/>
            <x v="464"/>
            <x v="465"/>
            <x v="466"/>
            <x v="467"/>
            <x v="468"/>
            <x v="469"/>
          </reference>
          <reference field="1" count="1" selected="0">
            <x v="10"/>
          </reference>
        </references>
      </pivotArea>
    </format>
    <format dxfId="88">
      <pivotArea dataOnly="0" labelOnly="1" fieldPosition="0">
        <references count="2">
          <reference field="0" count="25">
            <x v="0"/>
            <x v="1"/>
            <x v="2"/>
            <x v="3"/>
            <x v="4"/>
            <x v="5"/>
            <x v="6"/>
            <x v="7"/>
            <x v="8"/>
            <x v="9"/>
            <x v="10"/>
            <x v="11"/>
            <x v="12"/>
            <x v="13"/>
            <x v="14"/>
            <x v="15"/>
            <x v="16"/>
            <x v="17"/>
            <x v="18"/>
            <x v="19"/>
            <x v="20"/>
            <x v="21"/>
            <x v="22"/>
            <x v="23"/>
            <x v="24"/>
          </reference>
          <reference field="1" count="1" selected="0">
            <x v="0"/>
          </reference>
        </references>
      </pivotArea>
    </format>
    <format dxfId="89">
      <pivotArea dataOnly="0" labelOnly="1" fieldPosition="0">
        <references count="2">
          <reference field="0" count="27">
            <x v="417"/>
            <x v="418"/>
            <x v="419"/>
            <x v="420"/>
            <x v="421"/>
            <x v="422"/>
            <x v="423"/>
            <x v="424"/>
            <x v="425"/>
            <x v="426"/>
            <x v="427"/>
            <x v="428"/>
            <x v="429"/>
            <x v="430"/>
            <x v="431"/>
            <x v="432"/>
            <x v="433"/>
            <x v="434"/>
            <x v="435"/>
            <x v="436"/>
            <x v="437"/>
            <x v="438"/>
            <x v="439"/>
            <x v="440"/>
            <x v="441"/>
            <x v="442"/>
            <x v="443"/>
          </reference>
          <reference field="1" count="1" selected="0">
            <x v="9"/>
          </reference>
        </references>
      </pivotArea>
    </format>
    <format dxfId="90">
      <pivotArea dataOnly="0" labelOnly="1" fieldPosition="0">
        <references count="2">
          <reference field="0" count="13">
            <x v="470"/>
            <x v="471"/>
            <x v="472"/>
            <x v="473"/>
            <x v="474"/>
            <x v="475"/>
            <x v="476"/>
            <x v="477"/>
            <x v="478"/>
            <x v="479"/>
            <x v="480"/>
            <x v="481"/>
            <x v="482"/>
          </reference>
          <reference field="1" count="1" selected="0">
            <x v="11"/>
          </reference>
        </references>
      </pivotArea>
    </format>
    <format dxfId="91">
      <pivotArea dataOnly="0" labelOnly="1" fieldPosition="0">
        <references count="2">
          <reference field="0" count="2">
            <x v="483"/>
            <x v="484"/>
          </reference>
          <reference field="1" count="1" selected="0">
            <x v="12"/>
          </reference>
        </references>
      </pivotArea>
    </format>
  </formats>
  <chartFormats count="4">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caption="sales in 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2">
    <rowHierarchyUsage hierarchyUsage="1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59D16F-B392-4CB9-8220-8C5CB6A8CEA2}" name="sales in mounth" cacheId="374" applyNumberFormats="0" applyBorderFormats="0" applyFontFormats="0" applyPatternFormats="0" applyAlignmentFormats="0" applyWidthHeightFormats="1" dataCaption="Values" tag="c32bab89-2b2d-43cc-b557-46ce3e08e174" updatedVersion="8" minRefreshableVersion="3" useAutoFormatting="1" subtotalHiddenItems="1" itemPrintTitles="1" createdVersion="8" indent="0" outline="1" outlineData="1" multipleFieldFilters="0" chartFormat="15">
  <location ref="H13:I26" firstHeaderRow="1" firstDataRow="1" firstDataCol="1"/>
  <pivotFields count="4">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name="sales in mounth"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total_price" fld="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caption="sales in mounth"/>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FAA15B-B838-481A-B9B5-D035C5CCFE7C}" name="Sales By Size" cacheId="329" applyNumberFormats="0" applyBorderFormats="0" applyFontFormats="0" applyPatternFormats="0" applyAlignmentFormats="0" applyWidthHeightFormats="1" dataCaption="Values" tag="74a829e1-0d08-4e6a-a6dd-8d7fd4b2de1c" updatedVersion="8" minRefreshableVersion="3" useAutoFormatting="1" subtotalHiddenItems="1" itemPrintTitles="1" createdVersion="8" indent="0" outline="1" outlineData="1" multipleFieldFilters="0" chartFormat="25">
  <location ref="H106:I11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Sum of total_price" fld="1" baseField="0" baseItem="0" numFmtId="3"/>
  </dataFields>
  <chartFormats count="10">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 chart="12" format="10">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30C1D7-4A0E-4125-B35D-A4015FC7B85F}" name="Top 10 Customers By Quantity" cacheId="389" applyNumberFormats="0" applyBorderFormats="0" applyFontFormats="0" applyPatternFormats="0" applyAlignmentFormats="0" applyWidthHeightFormats="1" dataCaption="Values" tag="d703818a-ba08-4938-8f25-04e5c80a1266" updatedVersion="8" minRefreshableVersion="3" useAutoFormatting="1" subtotalHiddenItems="1" itemPrintTitles="1" createdVersion="8" indent="0" outline="1" outlineData="1" multipleFieldFilters="0" chartFormat="15">
  <location ref="C106:D11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i>
    <i>
      <x v="1"/>
    </i>
    <i>
      <x v="5"/>
    </i>
    <i>
      <x v="2"/>
    </i>
    <i>
      <x v="8"/>
    </i>
    <i>
      <x v="6"/>
    </i>
    <i>
      <x v="9"/>
    </i>
    <i>
      <x v="4"/>
    </i>
    <i>
      <x v="7"/>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filters count="1">
    <filter fld="0" type="count" id="2" iMeasureHier="1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B572FF-0F78-48D7-AAD1-402037837109}" autoFormatId="16" applyNumberFormats="0" applyBorderFormats="0" applyFontFormats="0" applyPatternFormats="0" applyAlignmentFormats="0" applyWidthHeightFormats="0">
  <queryTableRefresh nextId="13">
    <queryTableFields count="12">
      <queryTableField id="1" name="order_id" tableColumnId="1"/>
      <queryTableField id="2" name="pizza_id" tableColumnId="2"/>
      <queryTableField id="3" name="Customer Name" tableColumnId="3"/>
      <queryTableField id="4" name="quantity" tableColumnId="4"/>
      <queryTableField id="5" name="order_date" tableColumnId="5"/>
      <queryTableField id="6" name="order_time" tableColumnId="6"/>
      <queryTableField id="7" name="unit_price" tableColumnId="7"/>
      <queryTableField id="8" name="total_price" tableColumnId="8"/>
      <queryTableField id="9" name="pizza_size" tableColumnId="9"/>
      <queryTableField id="10" name="pizza_category" tableColumnId="10"/>
      <queryTableField id="11" name="pizza_ingredients" tableColumnId="11"/>
      <queryTableField id="12" name="pizza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1299457F-D6F8-48B9-A2CE-AAA24F0D1C79}" sourceName="[Sheet1].[pizza_category]">
  <pivotTables>
    <pivotTable tabId="3" name="sales in mounth"/>
    <pivotTable tabId="3" name="PivotTable10"/>
    <pivotTable tabId="3" name="Quantities By Category &amp; Size"/>
    <pivotTable tabId="3" name="Quantity By Size"/>
    <pivotTable tabId="3" name="Sales By Size"/>
    <pivotTable tabId="3" name="sales by time"/>
    <pivotTable tabId="3" name="top 10 customers"/>
    <pivotTable tabId="3" name="Top 10 Customers By Quantity"/>
    <pivotTable tabId="3" name="Top 5 pizza"/>
    <pivotTable tabId="3" name="top category in sales"/>
  </pivotTables>
  <data>
    <olap pivotCacheId="1046019313">
      <levels count="2">
        <level uniqueName="[Sheet1].[pizza_category].[(All)]" sourceCaption="(All)" count="0"/>
        <level uniqueName="[Sheet1].[pizza_category].[pizza_category]" sourceCaption="pizza_category" count="4">
          <ranges>
            <range startItem="0">
              <i n="[Sheet1].[pizza_category].&amp;[Chicken]" c="Chicken"/>
              <i n="[Sheet1].[pizza_category].&amp;[Classic]" c="Classic"/>
              <i n="[Sheet1].[pizza_category].&amp;[Supreme]" c="Supreme"/>
              <i n="[Sheet1].[pizza_category].&amp;[Veggie]" c="Veggie"/>
            </range>
          </ranges>
        </level>
      </levels>
      <selections count="1">
        <selection n="[Sheet1].[pizza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47D0472D-970F-43E8-9BC6-6F6B60D21A3E}" sourceName="[Sheet1].[pizza_size]">
  <pivotTables>
    <pivotTable tabId="3" name="sales in mounth"/>
    <pivotTable tabId="3" name="PivotTable10"/>
    <pivotTable tabId="3" name="Quantities By Category &amp; Size"/>
    <pivotTable tabId="3" name="sales by time"/>
    <pivotTable tabId="3" name="top 10 customers"/>
    <pivotTable tabId="3" name="Top 10 Customers By Quantity"/>
    <pivotTable tabId="3" name="Top 5 pizza"/>
    <pivotTable tabId="3" name="top category in sales"/>
  </pivotTables>
  <data>
    <olap pivotCacheId="1046019313">
      <levels count="2">
        <level uniqueName="[Sheet1].[pizza_size].[(All)]" sourceCaption="(All)" count="0"/>
        <level uniqueName="[Sheet1].[pizza_size].[pizza_size]" sourceCaption="pizza_size" count="4">
          <ranges>
            <range startItem="0">
              <i n="[Sheet1].[pizza_size].&amp;[L]" c="L"/>
              <i n="[Sheet1].[pizza_size].&amp;[M]" c="M"/>
              <i n="[Sheet1].[pizza_size].&amp;[S]" c="S"/>
              <i n="[Sheet1].[pizza_size].&amp;[XL]" c="XL"/>
            </range>
          </ranges>
        </level>
      </levels>
      <selections count="1">
        <selection n="[Sheet1].[pizza_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name" xr10:uid="{B5390900-CA59-428D-A702-8790C9404B2C}" sourceName="[Sheet1].[pizza_name]">
  <pivotTables>
    <pivotTable tabId="3" name="sales in mounth"/>
    <pivotTable tabId="3" name="PivotTable10"/>
    <pivotTable tabId="3" name="Quantities By Category &amp; Size"/>
    <pivotTable tabId="3" name="Quantity By Size"/>
    <pivotTable tabId="3" name="Sales By Size"/>
    <pivotTable tabId="3" name="sales by time"/>
    <pivotTable tabId="3" name="top 10 customers"/>
    <pivotTable tabId="3" name="Top 10 Customers By Quantity"/>
    <pivotTable tabId="3" name="top category in sales"/>
  </pivotTables>
  <data>
    <olap pivotCacheId="1046019313">
      <levels count="2">
        <level uniqueName="[Sheet1].[pizza_name].[(All)]" sourceCaption="(All)" count="0"/>
        <level uniqueName="[Sheet1].[pizza_name].[pizza_name]" sourceCaption="pizza_name" count="32">
          <ranges>
            <range startItem="0">
              <i n="[Sheet1].[pizza_name].&amp;[The Barbecue Chicken Pizza]" c="The Barbecue Chicken Pizza"/>
              <i n="[Sheet1].[pizza_name].&amp;[The Big Meat Pizza]" c="The Big Meat Pizza"/>
              <i n="[Sheet1].[pizza_name].&amp;[The Brie Carre Pizza]" c="The Brie Carre Pizza"/>
              <i n="[Sheet1].[pizza_name].&amp;[The Calabrese Pizza]" c="The Calabrese Pizza"/>
              <i n="[Sheet1].[pizza_name].&amp;[The California Chicken Pizza]" c="The California Chicken Pizza"/>
              <i n="[Sheet1].[pizza_name].&amp;[The Chicken Alfredo Pizza]" c="The Chicken Alfredo Pizza"/>
              <i n="[Sheet1].[pizza_name].&amp;[The Chicken Pesto Pizza]" c="The Chicken Pesto Pizza"/>
              <i n="[Sheet1].[pizza_name].&amp;[The Classic Deluxe Pizza]" c="The Classic Deluxe Pizza"/>
              <i n="[Sheet1].[pizza_name].&amp;[The Five Cheese Pizza]" c="The Five Cheese Pizza"/>
              <i n="[Sheet1].[pizza_name].&amp;[The Four Cheese Pizza]" c="The Four Cheese Pizza"/>
              <i n="[Sheet1].[pizza_name].&amp;[The Greek Pizza]" c="The Greek Pizza"/>
              <i n="[Sheet1].[pizza_name].&amp;[The Green Garden Pizza]" c="The Green Garden Pizza"/>
              <i n="[Sheet1].[pizza_name].&amp;[The Hawaiian Pizza]" c="The Hawaiian Pizza"/>
              <i n="[Sheet1].[pizza_name].&amp;[The Italian Capocollo Pizza]" c="The Italian Capocollo Pizza"/>
              <i n="[Sheet1].[pizza_name].&amp;[The Italian Supreme Pizza]" c="The Italian Supreme Pizza"/>
              <i n="[Sheet1].[pizza_name].&amp;[The Italian Vegetables Pizza]" c="The Italian Vegetables Pizza"/>
              <i n="[Sheet1].[pizza_name].&amp;[The Mediterranean Pizza]" c="The Mediterranean Pizza"/>
              <i n="[Sheet1].[pizza_name].&amp;[The Mexicana Pizza]" c="The Mexicana Pizza"/>
              <i n="[Sheet1].[pizza_name].&amp;[The Napolitana Pizza]" c="The Napolitana Pizza"/>
              <i n="[Sheet1].[pizza_name].&amp;[The Pepper Salami Pizza]" c="The Pepper Salami Pizza"/>
              <i n="[Sheet1].[pizza_name].&amp;[The Pepperoni Pizza]" c="The Pepperoni Pizza"/>
              <i n="[Sheet1].[pizza_name].&amp;[The Pepperoni, Mushroom, and Peppers Pizza]" c="The Pepperoni, Mushroom, and Peppers Pizza"/>
              <i n="[Sheet1].[pizza_name].&amp;[The Prosciutto and Arugula Pizza]" c="The Prosciutto and Arugula Pizza"/>
              <i n="[Sheet1].[pizza_name].&amp;[The Sicilian Pizza]" c="The Sicilian Pizza"/>
              <i n="[Sheet1].[pizza_name].&amp;[The Soppressata Pizza]" c="The Soppressata Pizza"/>
              <i n="[Sheet1].[pizza_name].&amp;[The Southwest Chicken Pizza]" c="The Southwest Chicken Pizza"/>
              <i n="[Sheet1].[pizza_name].&amp;[The Spicy Italian Pizza]" c="The Spicy Italian Pizza"/>
              <i n="[Sheet1].[pizza_name].&amp;[The Spinach and Feta Pizza]" c="The Spinach and Feta Pizza"/>
              <i n="[Sheet1].[pizza_name].&amp;[The Spinach Pesto Pizza]" c="The Spinach Pesto Pizza"/>
              <i n="[Sheet1].[pizza_name].&amp;[The Spinach Supreme Pizza]" c="The Spinach Supreme Pizza"/>
              <i n="[Sheet1].[pizza_name].&amp;[The Thai Chicken Pizza]" c="The Thai Chicken Pizza"/>
              <i n="[Sheet1].[pizza_name].&amp;[The Vegetables + Vegetables Pizza]" c="The Vegetables + Vegetables Pizza"/>
            </range>
          </ranges>
        </level>
      </levels>
      <selections count="1">
        <selection n="[Sheet1].[pizza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__Hour" xr10:uid="{DCE91B1F-97B7-49C5-80ED-E4DA7CD17B2F}" sourceName="[Sheet1].[order_time (Hour)]">
  <pivotTables>
    <pivotTable tabId="3" name="PivotTable10"/>
    <pivotTable tabId="3" name="Quantities By Category &amp; Size"/>
    <pivotTable tabId="3" name="Quantity By Size"/>
    <pivotTable tabId="3" name="Sales By Size"/>
    <pivotTable tabId="3" name="sales by time"/>
    <pivotTable tabId="3" name="sales in mounth"/>
    <pivotTable tabId="3" name="top 10 customers"/>
    <pivotTable tabId="3" name="Top 10 Customers By Quantity"/>
    <pivotTable tabId="3" name="Top 5 pizza"/>
    <pivotTable tabId="3" name="top category in sales"/>
  </pivotTables>
  <data>
    <olap pivotCacheId="1046019313">
      <levels count="2">
        <level uniqueName="[Sheet1].[order_time (Hour)].[(All)]" sourceCaption="(All)" count="0"/>
        <level uniqueName="[Sheet1].[order_time (Hour)].[order_time (Hour)]" sourceCaption="order_time (Hour)" count="13">
          <ranges>
            <range startItem="0">
              <i n="[Sheet1].[order_time (Hour)].&amp;[11]" c="11"/>
              <i n="[Sheet1].[order_time (Hour)].&amp;[12]" c="12"/>
              <i n="[Sheet1].[order_time (Hour)].&amp;[13]" c="13"/>
              <i n="[Sheet1].[order_time (Hour)].&amp;[14]" c="14"/>
              <i n="[Sheet1].[order_time (Hour)].&amp;[15]" c="15"/>
              <i n="[Sheet1].[order_time (Hour)].&amp;[16]" c="16"/>
              <i n="[Sheet1].[order_time (Hour)].&amp;[17]" c="17"/>
              <i n="[Sheet1].[order_time (Hour)].&amp;[18]" c="18"/>
              <i n="[Sheet1].[order_time (Hour)].&amp;[19]" c="19"/>
              <i n="[Sheet1].[order_time (Hour)].&amp;[20]" c="20"/>
              <i n="[Sheet1].[order_time (Hour)].&amp;[21]" c="21"/>
              <i n="[Sheet1].[order_time (Hour)].&amp;[22]" c="22"/>
              <i n="[Sheet1].[order_time (Hour)].&amp;[23]" c="23"/>
            </range>
          </ranges>
        </level>
      </levels>
      <selections count="1">
        <selection n="[Sheet1].[order_time (Hou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99A44E38-1792-4B85-8B4A-A5E00DE821C7}" sourceName="[Sheet1].[order_date (Month)]">
  <pivotTables>
    <pivotTable tabId="3" name="Quantities By Category &amp; Size"/>
    <pivotTable tabId="3" name="Quantity By Size"/>
    <pivotTable tabId="3" name="Sales By Size"/>
    <pivotTable tabId="3" name="sales by time"/>
    <pivotTable tabId="3" name="top 10 customers"/>
    <pivotTable tabId="3" name="Top 10 Customers By Quantity"/>
    <pivotTable tabId="3" name="Top 5 pizza"/>
    <pivotTable tabId="3" name="top category in sales"/>
    <pivotTable tabId="3" name="PivotTable10"/>
  </pivotTables>
  <data>
    <olap pivotCacheId="1046019313">
      <levels count="2">
        <level uniqueName="[Sheet1].[order_date (Month)].[(All)]" sourceCaption="(All)" count="0"/>
        <level uniqueName="[Sheet1].[order_date (Month)].[order_date (Month)]" sourceCaption="order_date (Month)" count="12">
          <ranges>
            <range startItem="0">
              <i n="[Sheet1].[order_date (Month)].&amp;[يناير]" c="يناير"/>
              <i n="[Sheet1].[order_date (Month)].&amp;[فبراير]" c="فبراير"/>
              <i n="[Sheet1].[order_date (Month)].&amp;[مارس]" c="مارس"/>
              <i n="[Sheet1].[order_date (Month)].&amp;[أبريل]" c="أبريل"/>
              <i n="[Sheet1].[order_date (Month)].&amp;[مايو]" c="مايو"/>
              <i n="[Sheet1].[order_date (Month)].&amp;[يونيو]" c="يونيو"/>
              <i n="[Sheet1].[order_date (Month)].&amp;[يوليو]" c="يوليو"/>
              <i n="[Sheet1].[order_date (Month)].&amp;[أغسطس]" c="أغسطس"/>
              <i n="[Sheet1].[order_date (Month)].&amp;[سبتمبر]" c="سبتمبر"/>
              <i n="[Sheet1].[order_date (Month)].&amp;[أكتوبر]" c="أكتوبر"/>
              <i n="[Sheet1].[order_date (Month)].&amp;[نوفمبر]" c="نوفمبر"/>
              <i n="[Sheet1].[order_date (Month)].&amp;[ديسمبر]" c="ديسمبر"/>
            </range>
          </ranges>
        </level>
      </levels>
      <selections count="1">
        <selection n="[Sheet1].[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xr10:uid="{047F30E6-FF41-4F53-8D7E-E504C911AED8}" cache="Slicer_pizza_category" caption="Category" level="1" style="Slicer Style 4" rowHeight="241300"/>
  <slicer name="pizza_size" xr10:uid="{E9395938-452F-4066-B2CB-DA6B1F1F4323}" cache="Slicer_pizza_size" caption=" Size" startItem="1" level="1" style="Slicer Style 4" rowHeight="241300"/>
  <slicer name="pizza_name" xr10:uid="{FE1D0172-2F47-4BAE-9B6E-A3D6FFF647B4}" cache="Slicer_pizza_name" caption="pizza Name" columnCount="2" level="1" style="Slicer Style 4" rowHeight="241300"/>
  <slicer name="order_time (Hour)" xr10:uid="{52285C3B-4384-44C7-8612-67750C3C396C}" cache="Slicer_order_time__Hour" caption="Time" startItem="6" level="1" style="Slicer Style 4" rowHeight="241300"/>
  <slicer name="order_date (Month)" xr10:uid="{D1377002-5622-4903-B562-BB7D769F284A}" cache="Slicer_order_date__Month" caption="Month" startItem="4" level="1" style="Slicer Style 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C91F2-8D5B-4868-AA0E-59A6C8048915}" name="Sheet1" displayName="Sheet1" ref="A1:L502" tableType="queryTable" totalsRowShown="0">
  <autoFilter ref="A1:L502" xr:uid="{CA3C91F2-8D5B-4868-AA0E-59A6C8048915}"/>
  <tableColumns count="12">
    <tableColumn id="1" xr3:uid="{D02AADCE-FFFA-4666-88CB-B61A6F0122EF}" uniqueName="1" name="order_id" queryTableFieldId="1"/>
    <tableColumn id="2" xr3:uid="{8CFAF05F-7DD8-48FF-A885-24156F167F34}" uniqueName="2" name="pizza_id" queryTableFieldId="2"/>
    <tableColumn id="3" xr3:uid="{3426B827-751D-4576-99D7-08EBB0062D39}" uniqueName="3" name="Customer Name" queryTableFieldId="3"/>
    <tableColumn id="4" xr3:uid="{C17B14D4-FC53-4AAE-9816-3068F5FC673F}" uniqueName="4" name="quantity" queryTableFieldId="4" dataDxfId="94"/>
    <tableColumn id="5" xr3:uid="{4A01483C-CD47-4740-9F93-42603DDE53BB}" uniqueName="5" name="order_date" queryTableFieldId="5" dataDxfId="93"/>
    <tableColumn id="6" xr3:uid="{58D64CA5-3EA5-4E8E-BA66-C7EC8AEA3DA4}" uniqueName="6" name="order_time" queryTableFieldId="6" dataDxfId="92"/>
    <tableColumn id="7" xr3:uid="{B3C01499-88B0-4BBD-B6C7-2F73643C914E}" uniqueName="7" name="unit_price" queryTableFieldId="7"/>
    <tableColumn id="8" xr3:uid="{82B7ACEB-F107-45E4-83EE-C240C110EBCE}" uniqueName="8" name="total_price" queryTableFieldId="8"/>
    <tableColumn id="9" xr3:uid="{92279010-40CB-45E6-99E9-E62514BAAEA8}" uniqueName="9" name="pizza_size" queryTableFieldId="9"/>
    <tableColumn id="10" xr3:uid="{5AC263A0-CDD4-4CD3-B10E-6EE69084F1DA}" uniqueName="10" name="pizza_category" queryTableFieldId="10"/>
    <tableColumn id="11" xr3:uid="{E9210A30-D54C-44F6-B61C-136287FF1D16}" uniqueName="11" name="pizza_ingredients" queryTableFieldId="11"/>
    <tableColumn id="12" xr3:uid="{478C395B-A97E-4C2C-932B-68E654A74367}" uniqueName="12" name="pizza_nam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6265-9E21-48DE-A6BB-A6A0EEBA28B2}">
  <sheetPr>
    <tabColor theme="9" tint="0.39997558519241921"/>
  </sheetPr>
  <dimension ref="A1:L502"/>
  <sheetViews>
    <sheetView workbookViewId="0">
      <selection activeCell="C3" sqref="C3"/>
    </sheetView>
  </sheetViews>
  <sheetFormatPr defaultRowHeight="14.25" x14ac:dyDescent="0.2"/>
  <cols>
    <col min="1" max="1" width="10.375" bestFit="1" customWidth="1"/>
    <col min="2" max="2" width="15.25" bestFit="1" customWidth="1"/>
    <col min="3" max="3" width="18" bestFit="1" customWidth="1"/>
    <col min="4" max="4" width="9.875" bestFit="1" customWidth="1"/>
    <col min="5" max="5" width="12.625" bestFit="1" customWidth="1"/>
    <col min="6" max="6" width="12.5" bestFit="1" customWidth="1"/>
    <col min="7" max="7" width="11.75" bestFit="1" customWidth="1"/>
    <col min="8" max="8" width="12.25" bestFit="1" customWidth="1"/>
    <col min="9" max="9" width="12.125" bestFit="1" customWidth="1"/>
    <col min="10" max="10" width="16.25" bestFit="1" customWidth="1"/>
    <col min="11" max="11" width="81" bestFit="1" customWidth="1"/>
    <col min="12" max="12" width="39.75" bestFit="1" customWidth="1"/>
  </cols>
  <sheetData>
    <row r="1" spans="1:12" x14ac:dyDescent="0.2">
      <c r="A1" t="s">
        <v>0</v>
      </c>
      <c r="B1" t="s">
        <v>1</v>
      </c>
      <c r="C1" t="s">
        <v>2</v>
      </c>
      <c r="D1" t="s">
        <v>3</v>
      </c>
      <c r="E1" t="s">
        <v>4</v>
      </c>
      <c r="F1" s="3" t="s">
        <v>5</v>
      </c>
      <c r="G1" t="s">
        <v>6</v>
      </c>
      <c r="H1" t="s">
        <v>7</v>
      </c>
      <c r="I1" t="s">
        <v>8</v>
      </c>
      <c r="J1" t="s">
        <v>9</v>
      </c>
      <c r="K1" t="s">
        <v>10</v>
      </c>
      <c r="L1" t="s">
        <v>11</v>
      </c>
    </row>
    <row r="2" spans="1:12" x14ac:dyDescent="0.2">
      <c r="A2">
        <v>1</v>
      </c>
      <c r="B2" t="s">
        <v>12</v>
      </c>
      <c r="C2" t="s">
        <v>13</v>
      </c>
      <c r="D2" s="2">
        <v>1</v>
      </c>
      <c r="E2" s="1">
        <v>42005</v>
      </c>
      <c r="F2" s="3">
        <v>0.49837962962962962</v>
      </c>
      <c r="G2">
        <v>16</v>
      </c>
      <c r="H2">
        <v>16</v>
      </c>
      <c r="I2" t="s">
        <v>14</v>
      </c>
      <c r="J2" t="s">
        <v>15</v>
      </c>
      <c r="K2" t="s">
        <v>16</v>
      </c>
      <c r="L2" t="s">
        <v>17</v>
      </c>
    </row>
    <row r="3" spans="1:12" x14ac:dyDescent="0.2">
      <c r="A3">
        <v>2</v>
      </c>
      <c r="B3" t="s">
        <v>18</v>
      </c>
      <c r="C3" t="s">
        <v>19</v>
      </c>
      <c r="D3" s="2">
        <v>1</v>
      </c>
      <c r="E3" s="1">
        <v>42005</v>
      </c>
      <c r="F3" s="3">
        <v>0.54373842592592592</v>
      </c>
      <c r="G3">
        <v>20.75</v>
      </c>
      <c r="H3">
        <v>20.75</v>
      </c>
      <c r="I3" t="s">
        <v>20</v>
      </c>
      <c r="J3" t="s">
        <v>21</v>
      </c>
      <c r="K3" t="s">
        <v>22</v>
      </c>
      <c r="L3" t="s">
        <v>23</v>
      </c>
    </row>
    <row r="4" spans="1:12" x14ac:dyDescent="0.2">
      <c r="A4">
        <v>3</v>
      </c>
      <c r="B4" t="s">
        <v>24</v>
      </c>
      <c r="C4" t="s">
        <v>25</v>
      </c>
      <c r="D4" s="2">
        <v>1</v>
      </c>
      <c r="E4" s="1">
        <v>42005</v>
      </c>
      <c r="F4" s="3">
        <v>0.812962962962963</v>
      </c>
      <c r="G4">
        <v>18.5</v>
      </c>
      <c r="H4">
        <v>18.5</v>
      </c>
      <c r="I4" t="s">
        <v>20</v>
      </c>
      <c r="J4" t="s">
        <v>26</v>
      </c>
      <c r="K4" t="s">
        <v>27</v>
      </c>
      <c r="L4" t="s">
        <v>28</v>
      </c>
    </row>
    <row r="5" spans="1:12" x14ac:dyDescent="0.2">
      <c r="A5">
        <v>4</v>
      </c>
      <c r="B5" t="s">
        <v>29</v>
      </c>
      <c r="C5" t="s">
        <v>30</v>
      </c>
      <c r="D5" s="2">
        <v>1</v>
      </c>
      <c r="E5" s="1">
        <v>42007</v>
      </c>
      <c r="F5" s="3">
        <v>0.90819444444444442</v>
      </c>
      <c r="G5">
        <v>20.75</v>
      </c>
      <c r="H5">
        <v>20.75</v>
      </c>
      <c r="I5" t="s">
        <v>20</v>
      </c>
      <c r="J5" t="s">
        <v>31</v>
      </c>
      <c r="K5" t="s">
        <v>32</v>
      </c>
      <c r="L5" t="s">
        <v>33</v>
      </c>
    </row>
    <row r="6" spans="1:12" x14ac:dyDescent="0.2">
      <c r="A6">
        <v>5</v>
      </c>
      <c r="B6" t="s">
        <v>34</v>
      </c>
      <c r="C6" t="s">
        <v>35</v>
      </c>
      <c r="D6" s="2">
        <v>1</v>
      </c>
      <c r="E6" s="1">
        <v>42010</v>
      </c>
      <c r="F6" s="3">
        <v>0.63780092592592597</v>
      </c>
      <c r="G6">
        <v>25.5</v>
      </c>
      <c r="H6">
        <v>25.5</v>
      </c>
      <c r="I6" t="s">
        <v>36</v>
      </c>
      <c r="J6" t="s">
        <v>15</v>
      </c>
      <c r="K6" t="s">
        <v>37</v>
      </c>
      <c r="L6" t="s">
        <v>38</v>
      </c>
    </row>
    <row r="7" spans="1:12" x14ac:dyDescent="0.2">
      <c r="A7">
        <v>6</v>
      </c>
      <c r="B7" t="s">
        <v>39</v>
      </c>
      <c r="C7" t="s">
        <v>40</v>
      </c>
      <c r="D7" s="2">
        <v>1</v>
      </c>
      <c r="E7" s="1">
        <v>42010</v>
      </c>
      <c r="F7" s="3">
        <v>0.72636574074074078</v>
      </c>
      <c r="G7">
        <v>15.25</v>
      </c>
      <c r="H7">
        <v>15.25</v>
      </c>
      <c r="I7" t="s">
        <v>20</v>
      </c>
      <c r="J7" t="s">
        <v>15</v>
      </c>
      <c r="K7" t="s">
        <v>41</v>
      </c>
      <c r="L7" t="s">
        <v>42</v>
      </c>
    </row>
    <row r="8" spans="1:12" x14ac:dyDescent="0.2">
      <c r="A8">
        <v>7</v>
      </c>
      <c r="B8" t="s">
        <v>43</v>
      </c>
      <c r="C8" t="s">
        <v>44</v>
      </c>
      <c r="D8" s="2">
        <v>1</v>
      </c>
      <c r="E8" s="1">
        <v>42012</v>
      </c>
      <c r="F8" s="3">
        <v>0.64806712962962965</v>
      </c>
      <c r="G8">
        <v>12.5</v>
      </c>
      <c r="H8">
        <v>12.5</v>
      </c>
      <c r="I8" t="s">
        <v>45</v>
      </c>
      <c r="J8" t="s">
        <v>31</v>
      </c>
      <c r="K8" t="s">
        <v>46</v>
      </c>
      <c r="L8" t="s">
        <v>47</v>
      </c>
    </row>
    <row r="9" spans="1:12" x14ac:dyDescent="0.2">
      <c r="A9">
        <v>8</v>
      </c>
      <c r="B9" t="s">
        <v>48</v>
      </c>
      <c r="C9" t="s">
        <v>49</v>
      </c>
      <c r="D9" s="2">
        <v>1</v>
      </c>
      <c r="E9" s="1">
        <v>42014</v>
      </c>
      <c r="F9" s="3">
        <v>0.60646990740740736</v>
      </c>
      <c r="G9">
        <v>20.75</v>
      </c>
      <c r="H9">
        <v>20.75</v>
      </c>
      <c r="I9" t="s">
        <v>20</v>
      </c>
      <c r="J9" t="s">
        <v>31</v>
      </c>
      <c r="K9" t="s">
        <v>50</v>
      </c>
      <c r="L9" t="s">
        <v>51</v>
      </c>
    </row>
    <row r="10" spans="1:12" x14ac:dyDescent="0.2">
      <c r="A10">
        <v>9</v>
      </c>
      <c r="B10" t="s">
        <v>52</v>
      </c>
      <c r="C10" t="s">
        <v>53</v>
      </c>
      <c r="D10" s="2">
        <v>1</v>
      </c>
      <c r="E10" s="1">
        <v>42014</v>
      </c>
      <c r="F10" s="3">
        <v>0.83211805555555551</v>
      </c>
      <c r="G10">
        <v>12.5</v>
      </c>
      <c r="H10">
        <v>12.5</v>
      </c>
      <c r="I10" t="s">
        <v>45</v>
      </c>
      <c r="J10" t="s">
        <v>31</v>
      </c>
      <c r="K10" t="s">
        <v>32</v>
      </c>
      <c r="L10" t="s">
        <v>33</v>
      </c>
    </row>
    <row r="11" spans="1:12" x14ac:dyDescent="0.2">
      <c r="A11">
        <v>10</v>
      </c>
      <c r="B11" t="s">
        <v>54</v>
      </c>
      <c r="C11" t="s">
        <v>55</v>
      </c>
      <c r="D11" s="2">
        <v>1</v>
      </c>
      <c r="E11" s="1">
        <v>42015</v>
      </c>
      <c r="F11" s="3">
        <v>0.8283449074074074</v>
      </c>
      <c r="G11">
        <v>12</v>
      </c>
      <c r="H11">
        <v>12</v>
      </c>
      <c r="I11" t="s">
        <v>45</v>
      </c>
      <c r="J11" t="s">
        <v>26</v>
      </c>
      <c r="K11" t="s">
        <v>56</v>
      </c>
      <c r="L11" t="s">
        <v>57</v>
      </c>
    </row>
    <row r="12" spans="1:12" x14ac:dyDescent="0.2">
      <c r="A12">
        <v>11</v>
      </c>
      <c r="B12" t="s">
        <v>58</v>
      </c>
      <c r="C12" t="s">
        <v>59</v>
      </c>
      <c r="D12" s="2">
        <v>1</v>
      </c>
      <c r="E12" s="1">
        <v>42016</v>
      </c>
      <c r="F12" s="3">
        <v>0.50096064814814811</v>
      </c>
      <c r="G12">
        <v>17.95</v>
      </c>
      <c r="H12">
        <v>17.95</v>
      </c>
      <c r="I12" t="s">
        <v>20</v>
      </c>
      <c r="J12" t="s">
        <v>26</v>
      </c>
      <c r="K12" t="s">
        <v>60</v>
      </c>
      <c r="L12" t="s">
        <v>61</v>
      </c>
    </row>
    <row r="13" spans="1:12" x14ac:dyDescent="0.2">
      <c r="A13">
        <v>12</v>
      </c>
      <c r="B13" t="s">
        <v>62</v>
      </c>
      <c r="C13" t="s">
        <v>63</v>
      </c>
      <c r="D13" s="2">
        <v>1</v>
      </c>
      <c r="E13" s="1">
        <v>42017</v>
      </c>
      <c r="F13" s="3">
        <v>0.5672800925925926</v>
      </c>
      <c r="G13">
        <v>16</v>
      </c>
      <c r="H13">
        <v>16</v>
      </c>
      <c r="I13" t="s">
        <v>14</v>
      </c>
      <c r="J13" t="s">
        <v>15</v>
      </c>
      <c r="K13" t="s">
        <v>37</v>
      </c>
      <c r="L13" t="s">
        <v>38</v>
      </c>
    </row>
    <row r="14" spans="1:12" x14ac:dyDescent="0.2">
      <c r="A14">
        <v>13</v>
      </c>
      <c r="B14" t="s">
        <v>24</v>
      </c>
      <c r="C14" t="s">
        <v>64</v>
      </c>
      <c r="D14" s="2">
        <v>1</v>
      </c>
      <c r="E14" s="1">
        <v>42018</v>
      </c>
      <c r="F14" s="3">
        <v>0.83898148148148144</v>
      </c>
      <c r="G14">
        <v>18.5</v>
      </c>
      <c r="H14">
        <v>18.5</v>
      </c>
      <c r="I14" t="s">
        <v>20</v>
      </c>
      <c r="J14" t="s">
        <v>26</v>
      </c>
      <c r="K14" t="s">
        <v>27</v>
      </c>
      <c r="L14" t="s">
        <v>28</v>
      </c>
    </row>
    <row r="15" spans="1:12" x14ac:dyDescent="0.2">
      <c r="A15">
        <v>14</v>
      </c>
      <c r="B15" t="s">
        <v>34</v>
      </c>
      <c r="C15" t="s">
        <v>65</v>
      </c>
      <c r="D15" s="2">
        <v>1</v>
      </c>
      <c r="E15" s="1">
        <v>42020</v>
      </c>
      <c r="F15" s="3">
        <v>0.52093750000000005</v>
      </c>
      <c r="G15">
        <v>25.5</v>
      </c>
      <c r="H15">
        <v>25.5</v>
      </c>
      <c r="I15" t="s">
        <v>36</v>
      </c>
      <c r="J15" t="s">
        <v>15</v>
      </c>
      <c r="K15" t="s">
        <v>37</v>
      </c>
      <c r="L15" t="s">
        <v>38</v>
      </c>
    </row>
    <row r="16" spans="1:12" x14ac:dyDescent="0.2">
      <c r="A16">
        <v>15</v>
      </c>
      <c r="B16" t="s">
        <v>66</v>
      </c>
      <c r="C16" t="s">
        <v>67</v>
      </c>
      <c r="D16" s="2">
        <v>1</v>
      </c>
      <c r="E16" s="1">
        <v>42020</v>
      </c>
      <c r="F16" s="3">
        <v>0.67707175925925922</v>
      </c>
      <c r="G16">
        <v>20.75</v>
      </c>
      <c r="H16">
        <v>20.75</v>
      </c>
      <c r="I16" t="s">
        <v>20</v>
      </c>
      <c r="J16" t="s">
        <v>31</v>
      </c>
      <c r="K16" t="s">
        <v>68</v>
      </c>
      <c r="L16" t="s">
        <v>69</v>
      </c>
    </row>
    <row r="17" spans="1:12" x14ac:dyDescent="0.2">
      <c r="A17">
        <v>16</v>
      </c>
      <c r="B17" t="s">
        <v>70</v>
      </c>
      <c r="C17" t="s">
        <v>71</v>
      </c>
      <c r="D17" s="2">
        <v>1</v>
      </c>
      <c r="E17" s="1">
        <v>42020</v>
      </c>
      <c r="F17" s="3">
        <v>0.79428240740740741</v>
      </c>
      <c r="G17">
        <v>16.75</v>
      </c>
      <c r="H17">
        <v>16.75</v>
      </c>
      <c r="I17" t="s">
        <v>14</v>
      </c>
      <c r="J17" t="s">
        <v>26</v>
      </c>
      <c r="K17" t="s">
        <v>72</v>
      </c>
      <c r="L17" t="s">
        <v>73</v>
      </c>
    </row>
    <row r="18" spans="1:12" x14ac:dyDescent="0.2">
      <c r="A18">
        <v>17</v>
      </c>
      <c r="B18" t="s">
        <v>74</v>
      </c>
      <c r="C18" t="s">
        <v>75</v>
      </c>
      <c r="D18" s="2">
        <v>1</v>
      </c>
      <c r="E18" s="1">
        <v>42021</v>
      </c>
      <c r="F18" s="3">
        <v>0.92637731481481478</v>
      </c>
      <c r="G18">
        <v>12.25</v>
      </c>
      <c r="H18">
        <v>12.25</v>
      </c>
      <c r="I18" t="s">
        <v>45</v>
      </c>
      <c r="J18" t="s">
        <v>31</v>
      </c>
      <c r="K18" t="s">
        <v>76</v>
      </c>
      <c r="L18" t="s">
        <v>77</v>
      </c>
    </row>
    <row r="19" spans="1:12" x14ac:dyDescent="0.2">
      <c r="A19">
        <v>18</v>
      </c>
      <c r="B19" t="s">
        <v>12</v>
      </c>
      <c r="C19" t="s">
        <v>78</v>
      </c>
      <c r="D19" s="2">
        <v>1</v>
      </c>
      <c r="E19" s="1">
        <v>42022</v>
      </c>
      <c r="F19" s="3">
        <v>0.75752314814814814</v>
      </c>
      <c r="G19">
        <v>16</v>
      </c>
      <c r="H19">
        <v>16</v>
      </c>
      <c r="I19" t="s">
        <v>14</v>
      </c>
      <c r="J19" t="s">
        <v>15</v>
      </c>
      <c r="K19" t="s">
        <v>16</v>
      </c>
      <c r="L19" t="s">
        <v>17</v>
      </c>
    </row>
    <row r="20" spans="1:12" x14ac:dyDescent="0.2">
      <c r="A20">
        <v>19</v>
      </c>
      <c r="B20" t="s">
        <v>79</v>
      </c>
      <c r="C20" t="s">
        <v>80</v>
      </c>
      <c r="D20" s="2">
        <v>1</v>
      </c>
      <c r="E20" s="1">
        <v>42023</v>
      </c>
      <c r="F20" s="3">
        <v>0.49811342592592595</v>
      </c>
      <c r="G20">
        <v>12.75</v>
      </c>
      <c r="H20">
        <v>12.75</v>
      </c>
      <c r="I20" t="s">
        <v>45</v>
      </c>
      <c r="J20" t="s">
        <v>21</v>
      </c>
      <c r="K20" t="s">
        <v>81</v>
      </c>
      <c r="L20" t="s">
        <v>82</v>
      </c>
    </row>
    <row r="21" spans="1:12" x14ac:dyDescent="0.2">
      <c r="A21">
        <v>20</v>
      </c>
      <c r="B21" t="s">
        <v>62</v>
      </c>
      <c r="C21" t="s">
        <v>83</v>
      </c>
      <c r="D21" s="2">
        <v>1</v>
      </c>
      <c r="E21" s="1">
        <v>42023</v>
      </c>
      <c r="F21" s="3">
        <v>0.83283564814814814</v>
      </c>
      <c r="G21">
        <v>16</v>
      </c>
      <c r="H21">
        <v>16</v>
      </c>
      <c r="I21" t="s">
        <v>14</v>
      </c>
      <c r="J21" t="s">
        <v>15</v>
      </c>
      <c r="K21" t="s">
        <v>37</v>
      </c>
      <c r="L21" t="s">
        <v>38</v>
      </c>
    </row>
    <row r="22" spans="1:12" x14ac:dyDescent="0.2">
      <c r="A22">
        <v>21</v>
      </c>
      <c r="B22" t="s">
        <v>84</v>
      </c>
      <c r="C22" t="s">
        <v>85</v>
      </c>
      <c r="D22" s="2">
        <v>1</v>
      </c>
      <c r="E22" s="1">
        <v>42025</v>
      </c>
      <c r="F22" s="3">
        <v>0.52682870370370372</v>
      </c>
      <c r="G22">
        <v>20.25</v>
      </c>
      <c r="H22">
        <v>20.25</v>
      </c>
      <c r="I22" t="s">
        <v>20</v>
      </c>
      <c r="J22" t="s">
        <v>31</v>
      </c>
      <c r="K22" t="s">
        <v>76</v>
      </c>
      <c r="L22" t="s">
        <v>77</v>
      </c>
    </row>
    <row r="23" spans="1:12" x14ac:dyDescent="0.2">
      <c r="A23">
        <v>22</v>
      </c>
      <c r="B23" t="s">
        <v>86</v>
      </c>
      <c r="C23" t="s">
        <v>87</v>
      </c>
      <c r="D23" s="2">
        <v>1</v>
      </c>
      <c r="E23" s="1">
        <v>42025</v>
      </c>
      <c r="F23" s="3">
        <v>0.79336805555555556</v>
      </c>
      <c r="G23">
        <v>16.5</v>
      </c>
      <c r="H23">
        <v>16.5</v>
      </c>
      <c r="I23" t="s">
        <v>14</v>
      </c>
      <c r="J23" t="s">
        <v>31</v>
      </c>
      <c r="K23" t="s">
        <v>88</v>
      </c>
      <c r="L23" t="s">
        <v>89</v>
      </c>
    </row>
    <row r="24" spans="1:12" x14ac:dyDescent="0.2">
      <c r="A24">
        <v>23</v>
      </c>
      <c r="B24" t="s">
        <v>90</v>
      </c>
      <c r="C24" t="s">
        <v>91</v>
      </c>
      <c r="D24" s="2">
        <v>1</v>
      </c>
      <c r="E24" s="1">
        <v>42026</v>
      </c>
      <c r="F24" s="3">
        <v>0.5412731481481482</v>
      </c>
      <c r="G24">
        <v>12.75</v>
      </c>
      <c r="H24">
        <v>12.75</v>
      </c>
      <c r="I24" t="s">
        <v>45</v>
      </c>
      <c r="J24" t="s">
        <v>21</v>
      </c>
      <c r="K24" t="s">
        <v>92</v>
      </c>
      <c r="L24" t="s">
        <v>93</v>
      </c>
    </row>
    <row r="25" spans="1:12" x14ac:dyDescent="0.2">
      <c r="A25">
        <v>24</v>
      </c>
      <c r="B25" t="s">
        <v>94</v>
      </c>
      <c r="C25" t="s">
        <v>95</v>
      </c>
      <c r="D25" s="2">
        <v>1</v>
      </c>
      <c r="E25" s="1">
        <v>42027</v>
      </c>
      <c r="F25" s="3">
        <v>0.67041666666666666</v>
      </c>
      <c r="G25">
        <v>9.75</v>
      </c>
      <c r="H25">
        <v>9.75</v>
      </c>
      <c r="I25" t="s">
        <v>45</v>
      </c>
      <c r="J25" t="s">
        <v>15</v>
      </c>
      <c r="K25" t="s">
        <v>41</v>
      </c>
      <c r="L25" t="s">
        <v>42</v>
      </c>
    </row>
    <row r="26" spans="1:12" x14ac:dyDescent="0.2">
      <c r="A26">
        <v>25</v>
      </c>
      <c r="B26" t="s">
        <v>96</v>
      </c>
      <c r="C26" t="s">
        <v>97</v>
      </c>
      <c r="D26" s="2">
        <v>1</v>
      </c>
      <c r="E26" s="1">
        <v>42028</v>
      </c>
      <c r="F26" s="3">
        <v>0.78531249999999997</v>
      </c>
      <c r="G26">
        <v>20.25</v>
      </c>
      <c r="H26">
        <v>20.25</v>
      </c>
      <c r="I26" t="s">
        <v>20</v>
      </c>
      <c r="J26" t="s">
        <v>26</v>
      </c>
      <c r="K26" t="s">
        <v>98</v>
      </c>
      <c r="L26" t="s">
        <v>99</v>
      </c>
    </row>
    <row r="27" spans="1:12" x14ac:dyDescent="0.2">
      <c r="A27">
        <v>26</v>
      </c>
      <c r="B27" t="s">
        <v>12</v>
      </c>
      <c r="C27" t="s">
        <v>100</v>
      </c>
      <c r="D27" s="2">
        <v>1</v>
      </c>
      <c r="E27" s="1">
        <v>42029</v>
      </c>
      <c r="F27" s="3">
        <v>0.56658564814814816</v>
      </c>
      <c r="G27">
        <v>16</v>
      </c>
      <c r="H27">
        <v>16</v>
      </c>
      <c r="I27" t="s">
        <v>14</v>
      </c>
      <c r="J27" t="s">
        <v>15</v>
      </c>
      <c r="K27" t="s">
        <v>16</v>
      </c>
      <c r="L27" t="s">
        <v>17</v>
      </c>
    </row>
    <row r="28" spans="1:12" x14ac:dyDescent="0.2">
      <c r="A28">
        <v>27</v>
      </c>
      <c r="B28" t="s">
        <v>101</v>
      </c>
      <c r="C28" t="s">
        <v>102</v>
      </c>
      <c r="D28" s="2">
        <v>1</v>
      </c>
      <c r="E28" s="1">
        <v>42030</v>
      </c>
      <c r="F28" s="3">
        <v>0.62159722222222225</v>
      </c>
      <c r="G28">
        <v>20.75</v>
      </c>
      <c r="H28">
        <v>20.75</v>
      </c>
      <c r="I28" t="s">
        <v>20</v>
      </c>
      <c r="J28" t="s">
        <v>21</v>
      </c>
      <c r="K28" t="s">
        <v>103</v>
      </c>
      <c r="L28" t="s">
        <v>104</v>
      </c>
    </row>
    <row r="29" spans="1:12" x14ac:dyDescent="0.2">
      <c r="A29">
        <v>28</v>
      </c>
      <c r="B29" t="s">
        <v>105</v>
      </c>
      <c r="C29" t="s">
        <v>106</v>
      </c>
      <c r="D29" s="2">
        <v>1</v>
      </c>
      <c r="E29" s="1">
        <v>42031</v>
      </c>
      <c r="F29" s="3">
        <v>0.56863425925925926</v>
      </c>
      <c r="G29">
        <v>16.5</v>
      </c>
      <c r="H29">
        <v>16.5</v>
      </c>
      <c r="I29" t="s">
        <v>20</v>
      </c>
      <c r="J29" t="s">
        <v>15</v>
      </c>
      <c r="K29" t="s">
        <v>107</v>
      </c>
      <c r="L29" t="s">
        <v>108</v>
      </c>
    </row>
    <row r="30" spans="1:12" x14ac:dyDescent="0.2">
      <c r="A30">
        <v>29</v>
      </c>
      <c r="B30" t="s">
        <v>24</v>
      </c>
      <c r="C30" t="s">
        <v>109</v>
      </c>
      <c r="D30" s="2">
        <v>1</v>
      </c>
      <c r="E30" s="1">
        <v>42031</v>
      </c>
      <c r="F30" s="3">
        <v>0.77359953703703699</v>
      </c>
      <c r="G30">
        <v>18.5</v>
      </c>
      <c r="H30">
        <v>18.5</v>
      </c>
      <c r="I30" t="s">
        <v>20</v>
      </c>
      <c r="J30" t="s">
        <v>26</v>
      </c>
      <c r="K30" t="s">
        <v>27</v>
      </c>
      <c r="L30" t="s">
        <v>28</v>
      </c>
    </row>
    <row r="31" spans="1:12" x14ac:dyDescent="0.2">
      <c r="A31">
        <v>30</v>
      </c>
      <c r="B31" t="s">
        <v>58</v>
      </c>
      <c r="C31" t="s">
        <v>110</v>
      </c>
      <c r="D31" s="2">
        <v>1</v>
      </c>
      <c r="E31" s="1">
        <v>42032</v>
      </c>
      <c r="F31" s="3">
        <v>0.51156250000000003</v>
      </c>
      <c r="G31">
        <v>17.95</v>
      </c>
      <c r="H31">
        <v>17.95</v>
      </c>
      <c r="I31" t="s">
        <v>20</v>
      </c>
      <c r="J31" t="s">
        <v>26</v>
      </c>
      <c r="K31" t="s">
        <v>60</v>
      </c>
      <c r="L31" t="s">
        <v>61</v>
      </c>
    </row>
    <row r="32" spans="1:12" x14ac:dyDescent="0.2">
      <c r="A32">
        <v>31</v>
      </c>
      <c r="B32" t="s">
        <v>111</v>
      </c>
      <c r="C32" t="s">
        <v>112</v>
      </c>
      <c r="D32" s="2">
        <v>1</v>
      </c>
      <c r="E32" s="1">
        <v>42033</v>
      </c>
      <c r="F32" s="3">
        <v>0.5647685185185185</v>
      </c>
      <c r="G32">
        <v>20.75</v>
      </c>
      <c r="H32">
        <v>20.75</v>
      </c>
      <c r="I32" t="s">
        <v>20</v>
      </c>
      <c r="J32" t="s">
        <v>21</v>
      </c>
      <c r="K32" t="s">
        <v>81</v>
      </c>
      <c r="L32" t="s">
        <v>82</v>
      </c>
    </row>
    <row r="33" spans="1:12" x14ac:dyDescent="0.2">
      <c r="A33">
        <v>32</v>
      </c>
      <c r="B33" t="s">
        <v>18</v>
      </c>
      <c r="C33" t="s">
        <v>113</v>
      </c>
      <c r="D33" s="2">
        <v>1</v>
      </c>
      <c r="E33" s="1">
        <v>42033</v>
      </c>
      <c r="F33" s="3">
        <v>0.56726851851851856</v>
      </c>
      <c r="G33">
        <v>20.75</v>
      </c>
      <c r="H33">
        <v>20.75</v>
      </c>
      <c r="I33" t="s">
        <v>20</v>
      </c>
      <c r="J33" t="s">
        <v>21</v>
      </c>
      <c r="K33" t="s">
        <v>22</v>
      </c>
      <c r="L33" t="s">
        <v>23</v>
      </c>
    </row>
    <row r="34" spans="1:12" x14ac:dyDescent="0.2">
      <c r="A34">
        <v>33</v>
      </c>
      <c r="B34" t="s">
        <v>111</v>
      </c>
      <c r="C34" t="s">
        <v>114</v>
      </c>
      <c r="D34" s="2">
        <v>1</v>
      </c>
      <c r="E34" s="1">
        <v>42034</v>
      </c>
      <c r="F34" s="3">
        <v>0.51442129629629629</v>
      </c>
      <c r="G34">
        <v>20.75</v>
      </c>
      <c r="H34">
        <v>20.75</v>
      </c>
      <c r="I34" t="s">
        <v>20</v>
      </c>
      <c r="J34" t="s">
        <v>21</v>
      </c>
      <c r="K34" t="s">
        <v>81</v>
      </c>
      <c r="L34" t="s">
        <v>82</v>
      </c>
    </row>
    <row r="35" spans="1:12" x14ac:dyDescent="0.2">
      <c r="A35">
        <v>34</v>
      </c>
      <c r="B35" t="s">
        <v>115</v>
      </c>
      <c r="C35" t="s">
        <v>116</v>
      </c>
      <c r="D35" s="2">
        <v>1</v>
      </c>
      <c r="E35" s="1">
        <v>42036</v>
      </c>
      <c r="F35" s="3">
        <v>0.53043981481481484</v>
      </c>
      <c r="G35">
        <v>12.5</v>
      </c>
      <c r="H35">
        <v>12.5</v>
      </c>
      <c r="I35" t="s">
        <v>45</v>
      </c>
      <c r="J35" t="s">
        <v>31</v>
      </c>
      <c r="K35" t="s">
        <v>68</v>
      </c>
      <c r="L35" t="s">
        <v>69</v>
      </c>
    </row>
    <row r="36" spans="1:12" x14ac:dyDescent="0.2">
      <c r="A36">
        <v>35</v>
      </c>
      <c r="B36" t="s">
        <v>117</v>
      </c>
      <c r="C36" t="s">
        <v>118</v>
      </c>
      <c r="D36" s="2">
        <v>1</v>
      </c>
      <c r="E36" s="1">
        <v>42036</v>
      </c>
      <c r="F36" s="3">
        <v>0.67754629629629626</v>
      </c>
      <c r="G36">
        <v>16</v>
      </c>
      <c r="H36">
        <v>16</v>
      </c>
      <c r="I36" t="s">
        <v>14</v>
      </c>
      <c r="J36" t="s">
        <v>26</v>
      </c>
      <c r="K36" t="s">
        <v>56</v>
      </c>
      <c r="L36" t="s">
        <v>57</v>
      </c>
    </row>
    <row r="37" spans="1:12" x14ac:dyDescent="0.2">
      <c r="A37">
        <v>36</v>
      </c>
      <c r="B37" t="s">
        <v>66</v>
      </c>
      <c r="C37" t="s">
        <v>119</v>
      </c>
      <c r="D37" s="2">
        <v>1</v>
      </c>
      <c r="E37" s="1">
        <v>42037</v>
      </c>
      <c r="F37" s="3">
        <v>0.67655092592592592</v>
      </c>
      <c r="G37">
        <v>20.75</v>
      </c>
      <c r="H37">
        <v>20.75</v>
      </c>
      <c r="I37" t="s">
        <v>20</v>
      </c>
      <c r="J37" t="s">
        <v>31</v>
      </c>
      <c r="K37" t="s">
        <v>68</v>
      </c>
      <c r="L37" t="s">
        <v>69</v>
      </c>
    </row>
    <row r="38" spans="1:12" x14ac:dyDescent="0.2">
      <c r="A38">
        <v>37</v>
      </c>
      <c r="B38" t="s">
        <v>120</v>
      </c>
      <c r="C38" t="s">
        <v>121</v>
      </c>
      <c r="D38" s="2">
        <v>1</v>
      </c>
      <c r="E38" s="1">
        <v>42038</v>
      </c>
      <c r="F38" s="3">
        <v>0.71753472222222225</v>
      </c>
      <c r="G38">
        <v>16</v>
      </c>
      <c r="H38">
        <v>16</v>
      </c>
      <c r="I38" t="s">
        <v>14</v>
      </c>
      <c r="J38" t="s">
        <v>26</v>
      </c>
      <c r="K38" t="s">
        <v>122</v>
      </c>
      <c r="L38" t="s">
        <v>123</v>
      </c>
    </row>
    <row r="39" spans="1:12" x14ac:dyDescent="0.2">
      <c r="A39">
        <v>38</v>
      </c>
      <c r="B39" t="s">
        <v>124</v>
      </c>
      <c r="C39" t="s">
        <v>125</v>
      </c>
      <c r="D39" s="2">
        <v>1</v>
      </c>
      <c r="E39" s="1">
        <v>42040</v>
      </c>
      <c r="F39" s="3">
        <v>0.8405555555555555</v>
      </c>
      <c r="G39">
        <v>12.5</v>
      </c>
      <c r="H39">
        <v>12.5</v>
      </c>
      <c r="I39" t="s">
        <v>45</v>
      </c>
      <c r="J39" t="s">
        <v>31</v>
      </c>
      <c r="K39" t="s">
        <v>88</v>
      </c>
      <c r="L39" t="s">
        <v>89</v>
      </c>
    </row>
    <row r="40" spans="1:12" x14ac:dyDescent="0.2">
      <c r="A40">
        <v>39</v>
      </c>
      <c r="B40" t="s">
        <v>126</v>
      </c>
      <c r="C40" t="s">
        <v>127</v>
      </c>
      <c r="D40" s="2">
        <v>1</v>
      </c>
      <c r="E40" s="1">
        <v>42041</v>
      </c>
      <c r="F40" s="3">
        <v>0.58423611111111107</v>
      </c>
      <c r="G40">
        <v>10.5</v>
      </c>
      <c r="H40">
        <v>10.5</v>
      </c>
      <c r="I40" t="s">
        <v>45</v>
      </c>
      <c r="J40" t="s">
        <v>15</v>
      </c>
      <c r="K40" t="s">
        <v>107</v>
      </c>
      <c r="L40" t="s">
        <v>108</v>
      </c>
    </row>
    <row r="41" spans="1:12" x14ac:dyDescent="0.2">
      <c r="A41">
        <v>40</v>
      </c>
      <c r="B41" t="s">
        <v>96</v>
      </c>
      <c r="C41" t="s">
        <v>128</v>
      </c>
      <c r="D41" s="2">
        <v>1</v>
      </c>
      <c r="E41" s="1">
        <v>42041</v>
      </c>
      <c r="F41" s="3">
        <v>0.77909722222222222</v>
      </c>
      <c r="G41">
        <v>20.25</v>
      </c>
      <c r="H41">
        <v>20.25</v>
      </c>
      <c r="I41" t="s">
        <v>20</v>
      </c>
      <c r="J41" t="s">
        <v>26</v>
      </c>
      <c r="K41" t="s">
        <v>98</v>
      </c>
      <c r="L41" t="s">
        <v>99</v>
      </c>
    </row>
    <row r="42" spans="1:12" x14ac:dyDescent="0.2">
      <c r="A42">
        <v>41</v>
      </c>
      <c r="B42" t="s">
        <v>129</v>
      </c>
      <c r="C42" t="s">
        <v>130</v>
      </c>
      <c r="D42" s="2">
        <v>1</v>
      </c>
      <c r="E42" s="1">
        <v>42042</v>
      </c>
      <c r="F42" s="3">
        <v>0.72395833333333337</v>
      </c>
      <c r="G42">
        <v>16.75</v>
      </c>
      <c r="H42">
        <v>16.75</v>
      </c>
      <c r="I42" t="s">
        <v>14</v>
      </c>
      <c r="J42" t="s">
        <v>21</v>
      </c>
      <c r="K42" t="s">
        <v>131</v>
      </c>
      <c r="L42" t="s">
        <v>132</v>
      </c>
    </row>
    <row r="43" spans="1:12" x14ac:dyDescent="0.2">
      <c r="A43">
        <v>42</v>
      </c>
      <c r="B43" t="s">
        <v>133</v>
      </c>
      <c r="C43" t="s">
        <v>134</v>
      </c>
      <c r="D43" s="2">
        <v>1</v>
      </c>
      <c r="E43" s="1">
        <v>42042</v>
      </c>
      <c r="F43" s="3">
        <v>0.74809027777777781</v>
      </c>
      <c r="G43">
        <v>16.75</v>
      </c>
      <c r="H43">
        <v>16.75</v>
      </c>
      <c r="I43" t="s">
        <v>14</v>
      </c>
      <c r="J43" t="s">
        <v>21</v>
      </c>
      <c r="K43" t="s">
        <v>103</v>
      </c>
      <c r="L43" t="s">
        <v>104</v>
      </c>
    </row>
    <row r="44" spans="1:12" x14ac:dyDescent="0.2">
      <c r="A44">
        <v>43</v>
      </c>
      <c r="B44" t="s">
        <v>135</v>
      </c>
      <c r="C44" t="s">
        <v>136</v>
      </c>
      <c r="D44" s="2">
        <v>1</v>
      </c>
      <c r="E44" s="1">
        <v>42043</v>
      </c>
      <c r="F44" s="3">
        <v>0.50717592592592597</v>
      </c>
      <c r="G44">
        <v>20.5</v>
      </c>
      <c r="H44">
        <v>20.5</v>
      </c>
      <c r="I44" t="s">
        <v>20</v>
      </c>
      <c r="J44" t="s">
        <v>15</v>
      </c>
      <c r="K44" t="s">
        <v>37</v>
      </c>
      <c r="L44" t="s">
        <v>38</v>
      </c>
    </row>
    <row r="45" spans="1:12" x14ac:dyDescent="0.2">
      <c r="A45">
        <v>44</v>
      </c>
      <c r="B45" t="s">
        <v>126</v>
      </c>
      <c r="C45" t="s">
        <v>137</v>
      </c>
      <c r="D45" s="2">
        <v>1</v>
      </c>
      <c r="E45" s="1">
        <v>42043</v>
      </c>
      <c r="F45" s="3">
        <v>0.72152777777777777</v>
      </c>
      <c r="G45">
        <v>10.5</v>
      </c>
      <c r="H45">
        <v>10.5</v>
      </c>
      <c r="I45" t="s">
        <v>45</v>
      </c>
      <c r="J45" t="s">
        <v>15</v>
      </c>
      <c r="K45" t="s">
        <v>107</v>
      </c>
      <c r="L45" t="s">
        <v>108</v>
      </c>
    </row>
    <row r="46" spans="1:12" x14ac:dyDescent="0.2">
      <c r="A46">
        <v>45</v>
      </c>
      <c r="B46" t="s">
        <v>138</v>
      </c>
      <c r="C46" t="s">
        <v>139</v>
      </c>
      <c r="D46" s="2">
        <v>1</v>
      </c>
      <c r="E46" s="1">
        <v>42044</v>
      </c>
      <c r="F46" s="3">
        <v>0.58379629629629626</v>
      </c>
      <c r="G46">
        <v>20.75</v>
      </c>
      <c r="H46">
        <v>20.75</v>
      </c>
      <c r="I46" t="s">
        <v>20</v>
      </c>
      <c r="J46" t="s">
        <v>21</v>
      </c>
      <c r="K46" t="s">
        <v>140</v>
      </c>
      <c r="L46" t="s">
        <v>141</v>
      </c>
    </row>
    <row r="47" spans="1:12" x14ac:dyDescent="0.2">
      <c r="A47">
        <v>46</v>
      </c>
      <c r="B47" t="s">
        <v>58</v>
      </c>
      <c r="C47" t="s">
        <v>142</v>
      </c>
      <c r="D47" s="2">
        <v>1</v>
      </c>
      <c r="E47" s="1">
        <v>42047</v>
      </c>
      <c r="F47" s="3">
        <v>0.79856481481481478</v>
      </c>
      <c r="G47">
        <v>17.95</v>
      </c>
      <c r="H47">
        <v>17.95</v>
      </c>
      <c r="I47" t="s">
        <v>20</v>
      </c>
      <c r="J47" t="s">
        <v>26</v>
      </c>
      <c r="K47" t="s">
        <v>60</v>
      </c>
      <c r="L47" t="s">
        <v>61</v>
      </c>
    </row>
    <row r="48" spans="1:12" x14ac:dyDescent="0.2">
      <c r="A48">
        <v>47</v>
      </c>
      <c r="B48" t="s">
        <v>84</v>
      </c>
      <c r="C48" t="s">
        <v>143</v>
      </c>
      <c r="D48" s="2">
        <v>1</v>
      </c>
      <c r="E48" s="1">
        <v>42048</v>
      </c>
      <c r="F48" s="3">
        <v>0.71331018518518519</v>
      </c>
      <c r="G48">
        <v>20.25</v>
      </c>
      <c r="H48">
        <v>20.25</v>
      </c>
      <c r="I48" t="s">
        <v>20</v>
      </c>
      <c r="J48" t="s">
        <v>31</v>
      </c>
      <c r="K48" t="s">
        <v>76</v>
      </c>
      <c r="L48" t="s">
        <v>77</v>
      </c>
    </row>
    <row r="49" spans="1:12" x14ac:dyDescent="0.2">
      <c r="A49">
        <v>48</v>
      </c>
      <c r="B49" t="s">
        <v>144</v>
      </c>
      <c r="C49" t="s">
        <v>145</v>
      </c>
      <c r="D49" s="2">
        <v>1</v>
      </c>
      <c r="E49" s="1">
        <v>42049</v>
      </c>
      <c r="F49" s="3">
        <v>0.7878356481481481</v>
      </c>
      <c r="G49">
        <v>20.25</v>
      </c>
      <c r="H49">
        <v>20.25</v>
      </c>
      <c r="I49" t="s">
        <v>20</v>
      </c>
      <c r="J49" t="s">
        <v>31</v>
      </c>
      <c r="K49" t="s">
        <v>146</v>
      </c>
      <c r="L49" t="s">
        <v>147</v>
      </c>
    </row>
    <row r="50" spans="1:12" x14ac:dyDescent="0.2">
      <c r="A50">
        <v>49</v>
      </c>
      <c r="B50" t="s">
        <v>48</v>
      </c>
      <c r="C50" t="s">
        <v>148</v>
      </c>
      <c r="D50" s="2">
        <v>1</v>
      </c>
      <c r="E50" s="1">
        <v>42049</v>
      </c>
      <c r="F50" s="3">
        <v>0.81650462962962966</v>
      </c>
      <c r="G50">
        <v>20.75</v>
      </c>
      <c r="H50">
        <v>20.75</v>
      </c>
      <c r="I50" t="s">
        <v>20</v>
      </c>
      <c r="J50" t="s">
        <v>31</v>
      </c>
      <c r="K50" t="s">
        <v>50</v>
      </c>
      <c r="L50" t="s">
        <v>51</v>
      </c>
    </row>
    <row r="51" spans="1:12" x14ac:dyDescent="0.2">
      <c r="A51">
        <v>50</v>
      </c>
      <c r="B51" t="s">
        <v>70</v>
      </c>
      <c r="C51" t="s">
        <v>149</v>
      </c>
      <c r="D51" s="2">
        <v>1</v>
      </c>
      <c r="E51" s="1">
        <v>42049</v>
      </c>
      <c r="F51" s="3">
        <v>0.88079861111111113</v>
      </c>
      <c r="G51">
        <v>16.75</v>
      </c>
      <c r="H51">
        <v>16.75</v>
      </c>
      <c r="I51" t="s">
        <v>14</v>
      </c>
      <c r="J51" t="s">
        <v>26</v>
      </c>
      <c r="K51" t="s">
        <v>72</v>
      </c>
      <c r="L51" t="s">
        <v>73</v>
      </c>
    </row>
    <row r="52" spans="1:12" x14ac:dyDescent="0.2">
      <c r="A52">
        <v>51</v>
      </c>
      <c r="B52" t="s">
        <v>124</v>
      </c>
      <c r="C52" t="s">
        <v>150</v>
      </c>
      <c r="D52" s="2">
        <v>1</v>
      </c>
      <c r="E52" s="1">
        <v>42050</v>
      </c>
      <c r="F52" s="3">
        <v>0.72870370370370374</v>
      </c>
      <c r="G52">
        <v>12.5</v>
      </c>
      <c r="H52">
        <v>12.5</v>
      </c>
      <c r="I52" t="s">
        <v>45</v>
      </c>
      <c r="J52" t="s">
        <v>31</v>
      </c>
      <c r="K52" t="s">
        <v>88</v>
      </c>
      <c r="L52" t="s">
        <v>89</v>
      </c>
    </row>
    <row r="53" spans="1:12" x14ac:dyDescent="0.2">
      <c r="A53">
        <v>52</v>
      </c>
      <c r="B53" t="s">
        <v>151</v>
      </c>
      <c r="C53" t="s">
        <v>152</v>
      </c>
      <c r="D53" s="2">
        <v>1</v>
      </c>
      <c r="E53" s="1">
        <v>42052</v>
      </c>
      <c r="F53" s="3">
        <v>0.59510416666666666</v>
      </c>
      <c r="G53">
        <v>20.75</v>
      </c>
      <c r="H53">
        <v>20.75</v>
      </c>
      <c r="I53" t="s">
        <v>20</v>
      </c>
      <c r="J53" t="s">
        <v>31</v>
      </c>
      <c r="K53" t="s">
        <v>88</v>
      </c>
      <c r="L53" t="s">
        <v>89</v>
      </c>
    </row>
    <row r="54" spans="1:12" x14ac:dyDescent="0.2">
      <c r="A54">
        <v>53</v>
      </c>
      <c r="B54" t="s">
        <v>153</v>
      </c>
      <c r="C54" t="s">
        <v>154</v>
      </c>
      <c r="D54" s="2">
        <v>1</v>
      </c>
      <c r="E54" s="1">
        <v>42052</v>
      </c>
      <c r="F54" s="3">
        <v>0.81025462962962957</v>
      </c>
      <c r="G54">
        <v>16.25</v>
      </c>
      <c r="H54">
        <v>16.25</v>
      </c>
      <c r="I54" t="s">
        <v>14</v>
      </c>
      <c r="J54" t="s">
        <v>31</v>
      </c>
      <c r="K54" t="s">
        <v>76</v>
      </c>
      <c r="L54" t="s">
        <v>77</v>
      </c>
    </row>
    <row r="55" spans="1:12" x14ac:dyDescent="0.2">
      <c r="A55">
        <v>54</v>
      </c>
      <c r="B55" t="s">
        <v>155</v>
      </c>
      <c r="C55" t="s">
        <v>156</v>
      </c>
      <c r="D55" s="2">
        <v>1</v>
      </c>
      <c r="E55" s="1">
        <v>42053</v>
      </c>
      <c r="F55" s="3">
        <v>0.54222222222222227</v>
      </c>
      <c r="G55">
        <v>16.5</v>
      </c>
      <c r="H55">
        <v>16.5</v>
      </c>
      <c r="I55" t="s">
        <v>14</v>
      </c>
      <c r="J55" t="s">
        <v>31</v>
      </c>
      <c r="K55" t="s">
        <v>46</v>
      </c>
      <c r="L55" t="s">
        <v>47</v>
      </c>
    </row>
    <row r="56" spans="1:12" x14ac:dyDescent="0.2">
      <c r="A56">
        <v>55</v>
      </c>
      <c r="B56" t="s">
        <v>117</v>
      </c>
      <c r="C56" t="s">
        <v>157</v>
      </c>
      <c r="D56" s="2">
        <v>1</v>
      </c>
      <c r="E56" s="1">
        <v>42053</v>
      </c>
      <c r="F56" s="3">
        <v>0.57724537037037038</v>
      </c>
      <c r="G56">
        <v>16</v>
      </c>
      <c r="H56">
        <v>16</v>
      </c>
      <c r="I56" t="s">
        <v>14</v>
      </c>
      <c r="J56" t="s">
        <v>26</v>
      </c>
      <c r="K56" t="s">
        <v>56</v>
      </c>
      <c r="L56" t="s">
        <v>57</v>
      </c>
    </row>
    <row r="57" spans="1:12" x14ac:dyDescent="0.2">
      <c r="A57">
        <v>56</v>
      </c>
      <c r="B57" t="s">
        <v>158</v>
      </c>
      <c r="C57" t="s">
        <v>159</v>
      </c>
      <c r="D57" s="2">
        <v>1</v>
      </c>
      <c r="E57" s="1">
        <v>42053</v>
      </c>
      <c r="F57" s="3">
        <v>0.75034722222222228</v>
      </c>
      <c r="G57">
        <v>20.75</v>
      </c>
      <c r="H57">
        <v>20.75</v>
      </c>
      <c r="I57" t="s">
        <v>20</v>
      </c>
      <c r="J57" t="s">
        <v>31</v>
      </c>
      <c r="K57" t="s">
        <v>46</v>
      </c>
      <c r="L57" t="s">
        <v>47</v>
      </c>
    </row>
    <row r="58" spans="1:12" x14ac:dyDescent="0.2">
      <c r="A58">
        <v>57</v>
      </c>
      <c r="B58" t="s">
        <v>151</v>
      </c>
      <c r="C58" t="s">
        <v>160</v>
      </c>
      <c r="D58" s="2">
        <v>1</v>
      </c>
      <c r="E58" s="1">
        <v>42054</v>
      </c>
      <c r="F58" s="3">
        <v>0.55131944444444447</v>
      </c>
      <c r="G58">
        <v>20.75</v>
      </c>
      <c r="H58">
        <v>20.75</v>
      </c>
      <c r="I58" t="s">
        <v>20</v>
      </c>
      <c r="J58" t="s">
        <v>31</v>
      </c>
      <c r="K58" t="s">
        <v>88</v>
      </c>
      <c r="L58" t="s">
        <v>89</v>
      </c>
    </row>
    <row r="59" spans="1:12" x14ac:dyDescent="0.2">
      <c r="A59">
        <v>58</v>
      </c>
      <c r="B59" t="s">
        <v>43</v>
      </c>
      <c r="C59" t="s">
        <v>161</v>
      </c>
      <c r="D59" s="2">
        <v>1</v>
      </c>
      <c r="E59" s="1">
        <v>42054</v>
      </c>
      <c r="F59" s="3">
        <v>0.83151620370370372</v>
      </c>
      <c r="G59">
        <v>12.5</v>
      </c>
      <c r="H59">
        <v>12.5</v>
      </c>
      <c r="I59" t="s">
        <v>45</v>
      </c>
      <c r="J59" t="s">
        <v>31</v>
      </c>
      <c r="K59" t="s">
        <v>46</v>
      </c>
      <c r="L59" t="s">
        <v>47</v>
      </c>
    </row>
    <row r="60" spans="1:12" x14ac:dyDescent="0.2">
      <c r="A60">
        <v>59</v>
      </c>
      <c r="B60" t="s">
        <v>162</v>
      </c>
      <c r="C60" t="s">
        <v>163</v>
      </c>
      <c r="D60" s="2">
        <v>1</v>
      </c>
      <c r="E60" s="1">
        <v>42059</v>
      </c>
      <c r="F60" s="3">
        <v>0.73495370370370372</v>
      </c>
      <c r="G60">
        <v>20.75</v>
      </c>
      <c r="H60">
        <v>20.75</v>
      </c>
      <c r="I60" t="s">
        <v>20</v>
      </c>
      <c r="J60" t="s">
        <v>21</v>
      </c>
      <c r="K60" t="s">
        <v>92</v>
      </c>
      <c r="L60" t="s">
        <v>93</v>
      </c>
    </row>
    <row r="61" spans="1:12" x14ac:dyDescent="0.2">
      <c r="A61">
        <v>60</v>
      </c>
      <c r="B61" t="s">
        <v>164</v>
      </c>
      <c r="C61" t="s">
        <v>165</v>
      </c>
      <c r="D61" s="2">
        <v>1</v>
      </c>
      <c r="E61" s="1">
        <v>42059</v>
      </c>
      <c r="F61" s="3">
        <v>0.75357638888888889</v>
      </c>
      <c r="G61">
        <v>12.5</v>
      </c>
      <c r="H61">
        <v>12.5</v>
      </c>
      <c r="I61" t="s">
        <v>45</v>
      </c>
      <c r="J61" t="s">
        <v>26</v>
      </c>
      <c r="K61" t="s">
        <v>166</v>
      </c>
      <c r="L61" t="s">
        <v>167</v>
      </c>
    </row>
    <row r="62" spans="1:12" x14ac:dyDescent="0.2">
      <c r="A62">
        <v>61</v>
      </c>
      <c r="B62" t="s">
        <v>155</v>
      </c>
      <c r="C62" t="s">
        <v>168</v>
      </c>
      <c r="D62" s="2">
        <v>1</v>
      </c>
      <c r="E62" s="1">
        <v>42061</v>
      </c>
      <c r="F62" s="3">
        <v>0.80907407407407406</v>
      </c>
      <c r="G62">
        <v>16.5</v>
      </c>
      <c r="H62">
        <v>16.5</v>
      </c>
      <c r="I62" t="s">
        <v>14</v>
      </c>
      <c r="J62" t="s">
        <v>31</v>
      </c>
      <c r="K62" t="s">
        <v>46</v>
      </c>
      <c r="L62" t="s">
        <v>47</v>
      </c>
    </row>
    <row r="63" spans="1:12" x14ac:dyDescent="0.2">
      <c r="A63">
        <v>62</v>
      </c>
      <c r="B63" t="s">
        <v>74</v>
      </c>
      <c r="C63" t="s">
        <v>169</v>
      </c>
      <c r="D63" s="2">
        <v>1</v>
      </c>
      <c r="E63" s="1">
        <v>42062</v>
      </c>
      <c r="F63" s="3">
        <v>0.78157407407407409</v>
      </c>
      <c r="G63">
        <v>12.25</v>
      </c>
      <c r="H63">
        <v>12.25</v>
      </c>
      <c r="I63" t="s">
        <v>45</v>
      </c>
      <c r="J63" t="s">
        <v>31</v>
      </c>
      <c r="K63" t="s">
        <v>76</v>
      </c>
      <c r="L63" t="s">
        <v>77</v>
      </c>
    </row>
    <row r="64" spans="1:12" x14ac:dyDescent="0.2">
      <c r="A64">
        <v>63</v>
      </c>
      <c r="B64" t="s">
        <v>170</v>
      </c>
      <c r="C64" t="s">
        <v>171</v>
      </c>
      <c r="D64" s="2">
        <v>1</v>
      </c>
      <c r="E64" s="1">
        <v>42063</v>
      </c>
      <c r="F64" s="3">
        <v>0.77453703703703702</v>
      </c>
      <c r="G64">
        <v>12</v>
      </c>
      <c r="H64">
        <v>12</v>
      </c>
      <c r="I64" t="s">
        <v>45</v>
      </c>
      <c r="J64" t="s">
        <v>15</v>
      </c>
      <c r="K64" t="s">
        <v>172</v>
      </c>
      <c r="L64" t="s">
        <v>173</v>
      </c>
    </row>
    <row r="65" spans="1:12" x14ac:dyDescent="0.2">
      <c r="A65">
        <v>64</v>
      </c>
      <c r="B65" t="s">
        <v>117</v>
      </c>
      <c r="C65" t="s">
        <v>174</v>
      </c>
      <c r="D65" s="2">
        <v>1</v>
      </c>
      <c r="E65" s="1">
        <v>42063</v>
      </c>
      <c r="F65" s="3">
        <v>0.87979166666666664</v>
      </c>
      <c r="G65">
        <v>16</v>
      </c>
      <c r="H65">
        <v>16</v>
      </c>
      <c r="I65" t="s">
        <v>14</v>
      </c>
      <c r="J65" t="s">
        <v>26</v>
      </c>
      <c r="K65" t="s">
        <v>56</v>
      </c>
      <c r="L65" t="s">
        <v>57</v>
      </c>
    </row>
    <row r="66" spans="1:12" x14ac:dyDescent="0.2">
      <c r="A66">
        <v>65</v>
      </c>
      <c r="B66" t="s">
        <v>175</v>
      </c>
      <c r="C66" t="s">
        <v>176</v>
      </c>
      <c r="D66" s="2">
        <v>1</v>
      </c>
      <c r="E66" s="1">
        <v>42063</v>
      </c>
      <c r="F66" s="3">
        <v>0.9620023148148148</v>
      </c>
      <c r="G66">
        <v>12</v>
      </c>
      <c r="H66">
        <v>12</v>
      </c>
      <c r="I66" t="s">
        <v>45</v>
      </c>
      <c r="J66" t="s">
        <v>15</v>
      </c>
      <c r="K66" t="s">
        <v>16</v>
      </c>
      <c r="L66" t="s">
        <v>17</v>
      </c>
    </row>
    <row r="67" spans="1:12" x14ac:dyDescent="0.2">
      <c r="A67">
        <v>66</v>
      </c>
      <c r="B67" t="s">
        <v>90</v>
      </c>
      <c r="C67" t="s">
        <v>177</v>
      </c>
      <c r="D67" s="2">
        <v>1</v>
      </c>
      <c r="E67" s="1">
        <v>42064</v>
      </c>
      <c r="F67" s="3">
        <v>0.76226851851851851</v>
      </c>
      <c r="G67">
        <v>12.75</v>
      </c>
      <c r="H67">
        <v>12.75</v>
      </c>
      <c r="I67" t="s">
        <v>45</v>
      </c>
      <c r="J67" t="s">
        <v>21</v>
      </c>
      <c r="K67" t="s">
        <v>92</v>
      </c>
      <c r="L67" t="s">
        <v>93</v>
      </c>
    </row>
    <row r="68" spans="1:12" x14ac:dyDescent="0.2">
      <c r="A68">
        <v>67</v>
      </c>
      <c r="B68" t="s">
        <v>178</v>
      </c>
      <c r="C68" t="s">
        <v>179</v>
      </c>
      <c r="D68" s="2">
        <v>1</v>
      </c>
      <c r="E68" s="1">
        <v>42066</v>
      </c>
      <c r="F68" s="3">
        <v>0.6284953703703704</v>
      </c>
      <c r="G68">
        <v>20.5</v>
      </c>
      <c r="H68">
        <v>20.5</v>
      </c>
      <c r="I68" t="s">
        <v>20</v>
      </c>
      <c r="J68" t="s">
        <v>15</v>
      </c>
      <c r="K68" t="s">
        <v>180</v>
      </c>
      <c r="L68" t="s">
        <v>181</v>
      </c>
    </row>
    <row r="69" spans="1:12" x14ac:dyDescent="0.2">
      <c r="A69">
        <v>68</v>
      </c>
      <c r="B69" t="s">
        <v>182</v>
      </c>
      <c r="C69" t="s">
        <v>183</v>
      </c>
      <c r="D69" s="2">
        <v>1</v>
      </c>
      <c r="E69" s="1">
        <v>42067</v>
      </c>
      <c r="F69" s="3">
        <v>0.74454861111111115</v>
      </c>
      <c r="G69">
        <v>12</v>
      </c>
      <c r="H69">
        <v>12</v>
      </c>
      <c r="I69" t="s">
        <v>45</v>
      </c>
      <c r="J69" t="s">
        <v>15</v>
      </c>
      <c r="K69" t="s">
        <v>184</v>
      </c>
      <c r="L69" t="s">
        <v>185</v>
      </c>
    </row>
    <row r="70" spans="1:12" x14ac:dyDescent="0.2">
      <c r="A70">
        <v>69</v>
      </c>
      <c r="B70" t="s">
        <v>111</v>
      </c>
      <c r="C70" t="s">
        <v>186</v>
      </c>
      <c r="D70" s="2">
        <v>1</v>
      </c>
      <c r="E70" s="1">
        <v>42068</v>
      </c>
      <c r="F70" s="3">
        <v>0.52111111111111108</v>
      </c>
      <c r="G70">
        <v>20.75</v>
      </c>
      <c r="H70">
        <v>20.75</v>
      </c>
      <c r="I70" t="s">
        <v>20</v>
      </c>
      <c r="J70" t="s">
        <v>21</v>
      </c>
      <c r="K70" t="s">
        <v>81</v>
      </c>
      <c r="L70" t="s">
        <v>82</v>
      </c>
    </row>
    <row r="71" spans="1:12" x14ac:dyDescent="0.2">
      <c r="A71">
        <v>70</v>
      </c>
      <c r="B71" t="s">
        <v>187</v>
      </c>
      <c r="C71" t="s">
        <v>148</v>
      </c>
      <c r="D71" s="2">
        <v>1</v>
      </c>
      <c r="E71" s="1">
        <v>42068</v>
      </c>
      <c r="F71" s="3">
        <v>0.61062499999999997</v>
      </c>
      <c r="G71">
        <v>13.25</v>
      </c>
      <c r="H71">
        <v>13.25</v>
      </c>
      <c r="I71" t="s">
        <v>14</v>
      </c>
      <c r="J71" t="s">
        <v>15</v>
      </c>
      <c r="K71" t="s">
        <v>107</v>
      </c>
      <c r="L71" t="s">
        <v>108</v>
      </c>
    </row>
    <row r="72" spans="1:12" x14ac:dyDescent="0.2">
      <c r="A72">
        <v>71</v>
      </c>
      <c r="B72" t="s">
        <v>29</v>
      </c>
      <c r="C72" t="s">
        <v>188</v>
      </c>
      <c r="D72" s="2">
        <v>1</v>
      </c>
      <c r="E72" s="1">
        <v>42068</v>
      </c>
      <c r="F72" s="3">
        <v>0.72979166666666662</v>
      </c>
      <c r="G72">
        <v>20.75</v>
      </c>
      <c r="H72">
        <v>20.75</v>
      </c>
      <c r="I72" t="s">
        <v>20</v>
      </c>
      <c r="J72" t="s">
        <v>31</v>
      </c>
      <c r="K72" t="s">
        <v>32</v>
      </c>
      <c r="L72" t="s">
        <v>33</v>
      </c>
    </row>
    <row r="73" spans="1:12" x14ac:dyDescent="0.2">
      <c r="A73">
        <v>72</v>
      </c>
      <c r="B73" t="s">
        <v>126</v>
      </c>
      <c r="C73" t="s">
        <v>189</v>
      </c>
      <c r="D73" s="2">
        <v>1</v>
      </c>
      <c r="E73" s="1">
        <v>42069</v>
      </c>
      <c r="F73" s="3">
        <v>0.57502314814814814</v>
      </c>
      <c r="G73">
        <v>10.5</v>
      </c>
      <c r="H73">
        <v>10.5</v>
      </c>
      <c r="I73" t="s">
        <v>45</v>
      </c>
      <c r="J73" t="s">
        <v>15</v>
      </c>
      <c r="K73" t="s">
        <v>107</v>
      </c>
      <c r="L73" t="s">
        <v>108</v>
      </c>
    </row>
    <row r="74" spans="1:12" x14ac:dyDescent="0.2">
      <c r="A74">
        <v>73</v>
      </c>
      <c r="B74" t="s">
        <v>126</v>
      </c>
      <c r="C74" t="s">
        <v>190</v>
      </c>
      <c r="D74" s="2">
        <v>1</v>
      </c>
      <c r="E74" s="1">
        <v>42069</v>
      </c>
      <c r="F74" s="3">
        <v>0.69975694444444447</v>
      </c>
      <c r="G74">
        <v>10.5</v>
      </c>
      <c r="H74">
        <v>10.5</v>
      </c>
      <c r="I74" t="s">
        <v>45</v>
      </c>
      <c r="J74" t="s">
        <v>15</v>
      </c>
      <c r="K74" t="s">
        <v>107</v>
      </c>
      <c r="L74" t="s">
        <v>108</v>
      </c>
    </row>
    <row r="75" spans="1:12" x14ac:dyDescent="0.2">
      <c r="A75">
        <v>74</v>
      </c>
      <c r="B75" t="s">
        <v>191</v>
      </c>
      <c r="C75" t="s">
        <v>192</v>
      </c>
      <c r="D75" s="2">
        <v>1</v>
      </c>
      <c r="E75" s="1">
        <v>42070</v>
      </c>
      <c r="F75" s="3">
        <v>0.78186342592592595</v>
      </c>
      <c r="G75">
        <v>20.75</v>
      </c>
      <c r="H75">
        <v>20.75</v>
      </c>
      <c r="I75" t="s">
        <v>20</v>
      </c>
      <c r="J75" t="s">
        <v>26</v>
      </c>
      <c r="K75" t="s">
        <v>166</v>
      </c>
      <c r="L75" t="s">
        <v>167</v>
      </c>
    </row>
    <row r="76" spans="1:12" x14ac:dyDescent="0.2">
      <c r="A76">
        <v>75</v>
      </c>
      <c r="B76" t="s">
        <v>175</v>
      </c>
      <c r="C76" t="s">
        <v>193</v>
      </c>
      <c r="D76" s="2">
        <v>1</v>
      </c>
      <c r="E76" s="1">
        <v>42072</v>
      </c>
      <c r="F76" s="3">
        <v>0.58736111111111111</v>
      </c>
      <c r="G76">
        <v>12</v>
      </c>
      <c r="H76">
        <v>12</v>
      </c>
      <c r="I76" t="s">
        <v>45</v>
      </c>
      <c r="J76" t="s">
        <v>15</v>
      </c>
      <c r="K76" t="s">
        <v>16</v>
      </c>
      <c r="L76" t="s">
        <v>17</v>
      </c>
    </row>
    <row r="77" spans="1:12" x14ac:dyDescent="0.2">
      <c r="A77">
        <v>76</v>
      </c>
      <c r="B77" t="s">
        <v>120</v>
      </c>
      <c r="C77" t="s">
        <v>194</v>
      </c>
      <c r="D77" s="2">
        <v>3</v>
      </c>
      <c r="E77" s="1">
        <v>42074</v>
      </c>
      <c r="F77" s="3">
        <v>0.89956018518518521</v>
      </c>
      <c r="G77">
        <v>16</v>
      </c>
      <c r="H77">
        <v>48</v>
      </c>
      <c r="I77" t="s">
        <v>14</v>
      </c>
      <c r="J77" t="s">
        <v>26</v>
      </c>
      <c r="K77" t="s">
        <v>122</v>
      </c>
      <c r="L77" t="s">
        <v>123</v>
      </c>
    </row>
    <row r="78" spans="1:12" x14ac:dyDescent="0.2">
      <c r="A78">
        <v>77</v>
      </c>
      <c r="B78" t="s">
        <v>195</v>
      </c>
      <c r="C78" t="s">
        <v>196</v>
      </c>
      <c r="D78" s="2">
        <v>1</v>
      </c>
      <c r="E78" s="1">
        <v>42076</v>
      </c>
      <c r="F78" s="3">
        <v>0.53009259259259256</v>
      </c>
      <c r="G78">
        <v>12</v>
      </c>
      <c r="H78">
        <v>12</v>
      </c>
      <c r="I78" t="s">
        <v>45</v>
      </c>
      <c r="J78" t="s">
        <v>26</v>
      </c>
      <c r="K78" t="s">
        <v>197</v>
      </c>
      <c r="L78" t="s">
        <v>198</v>
      </c>
    </row>
    <row r="79" spans="1:12" x14ac:dyDescent="0.2">
      <c r="A79">
        <v>78</v>
      </c>
      <c r="B79" t="s">
        <v>170</v>
      </c>
      <c r="C79" t="s">
        <v>199</v>
      </c>
      <c r="D79" s="2">
        <v>1</v>
      </c>
      <c r="E79" s="1">
        <v>42076</v>
      </c>
      <c r="F79" s="3">
        <v>0.74618055555555551</v>
      </c>
      <c r="G79">
        <v>12</v>
      </c>
      <c r="H79">
        <v>12</v>
      </c>
      <c r="I79" t="s">
        <v>45</v>
      </c>
      <c r="J79" t="s">
        <v>15</v>
      </c>
      <c r="K79" t="s">
        <v>172</v>
      </c>
      <c r="L79" t="s">
        <v>173</v>
      </c>
    </row>
    <row r="80" spans="1:12" x14ac:dyDescent="0.2">
      <c r="A80">
        <v>79</v>
      </c>
      <c r="B80" t="s">
        <v>58</v>
      </c>
      <c r="C80" t="s">
        <v>200</v>
      </c>
      <c r="D80" s="2">
        <v>1</v>
      </c>
      <c r="E80" s="1">
        <v>42076</v>
      </c>
      <c r="F80" s="3">
        <v>0.80839120370370365</v>
      </c>
      <c r="G80">
        <v>17.95</v>
      </c>
      <c r="H80">
        <v>17.95</v>
      </c>
      <c r="I80" t="s">
        <v>20</v>
      </c>
      <c r="J80" t="s">
        <v>26</v>
      </c>
      <c r="K80" t="s">
        <v>60</v>
      </c>
      <c r="L80" t="s">
        <v>61</v>
      </c>
    </row>
    <row r="81" spans="1:12" x14ac:dyDescent="0.2">
      <c r="A81">
        <v>80</v>
      </c>
      <c r="B81" t="s">
        <v>201</v>
      </c>
      <c r="C81" t="s">
        <v>202</v>
      </c>
      <c r="D81" s="2">
        <v>1</v>
      </c>
      <c r="E81" s="1">
        <v>42077</v>
      </c>
      <c r="F81" s="3">
        <v>0.59180555555555558</v>
      </c>
      <c r="G81">
        <v>16.5</v>
      </c>
      <c r="H81">
        <v>16.5</v>
      </c>
      <c r="I81" t="s">
        <v>14</v>
      </c>
      <c r="J81" t="s">
        <v>31</v>
      </c>
      <c r="K81" t="s">
        <v>50</v>
      </c>
      <c r="L81" t="s">
        <v>51</v>
      </c>
    </row>
    <row r="82" spans="1:12" x14ac:dyDescent="0.2">
      <c r="A82">
        <v>81</v>
      </c>
      <c r="B82" t="s">
        <v>203</v>
      </c>
      <c r="C82" t="s">
        <v>204</v>
      </c>
      <c r="D82" s="2">
        <v>1</v>
      </c>
      <c r="E82" s="1">
        <v>42078</v>
      </c>
      <c r="F82" s="3">
        <v>0.66717592592592589</v>
      </c>
      <c r="G82">
        <v>16.5</v>
      </c>
      <c r="H82">
        <v>16.5</v>
      </c>
      <c r="I82" t="s">
        <v>14</v>
      </c>
      <c r="J82" t="s">
        <v>31</v>
      </c>
      <c r="K82" t="s">
        <v>68</v>
      </c>
      <c r="L82" t="s">
        <v>69</v>
      </c>
    </row>
    <row r="83" spans="1:12" x14ac:dyDescent="0.2">
      <c r="A83">
        <v>82</v>
      </c>
      <c r="B83" t="s">
        <v>144</v>
      </c>
      <c r="C83" t="s">
        <v>205</v>
      </c>
      <c r="D83" s="2">
        <v>1</v>
      </c>
      <c r="E83" s="1">
        <v>42078</v>
      </c>
      <c r="F83" s="3">
        <v>0.69313657407407403</v>
      </c>
      <c r="G83">
        <v>20.25</v>
      </c>
      <c r="H83">
        <v>20.25</v>
      </c>
      <c r="I83" t="s">
        <v>20</v>
      </c>
      <c r="J83" t="s">
        <v>31</v>
      </c>
      <c r="K83" t="s">
        <v>146</v>
      </c>
      <c r="L83" t="s">
        <v>147</v>
      </c>
    </row>
    <row r="84" spans="1:12" x14ac:dyDescent="0.2">
      <c r="A84">
        <v>83</v>
      </c>
      <c r="B84" t="s">
        <v>18</v>
      </c>
      <c r="C84" t="s">
        <v>206</v>
      </c>
      <c r="D84" s="2">
        <v>1</v>
      </c>
      <c r="E84" s="1">
        <v>42079</v>
      </c>
      <c r="F84" s="3">
        <v>0.77018518518518519</v>
      </c>
      <c r="G84">
        <v>20.75</v>
      </c>
      <c r="H84">
        <v>20.75</v>
      </c>
      <c r="I84" t="s">
        <v>20</v>
      </c>
      <c r="J84" t="s">
        <v>21</v>
      </c>
      <c r="K84" t="s">
        <v>22</v>
      </c>
      <c r="L84" t="s">
        <v>23</v>
      </c>
    </row>
    <row r="85" spans="1:12" x14ac:dyDescent="0.2">
      <c r="A85">
        <v>84</v>
      </c>
      <c r="B85" t="s">
        <v>153</v>
      </c>
      <c r="C85" t="s">
        <v>207</v>
      </c>
      <c r="D85" s="2">
        <v>1</v>
      </c>
      <c r="E85" s="1">
        <v>42079</v>
      </c>
      <c r="F85" s="3">
        <v>0.80016203703703703</v>
      </c>
      <c r="G85">
        <v>16.25</v>
      </c>
      <c r="H85">
        <v>16.25</v>
      </c>
      <c r="I85" t="s">
        <v>14</v>
      </c>
      <c r="J85" t="s">
        <v>31</v>
      </c>
      <c r="K85" t="s">
        <v>76</v>
      </c>
      <c r="L85" t="s">
        <v>77</v>
      </c>
    </row>
    <row r="86" spans="1:12" x14ac:dyDescent="0.2">
      <c r="A86">
        <v>85</v>
      </c>
      <c r="B86" t="s">
        <v>208</v>
      </c>
      <c r="C86" t="s">
        <v>209</v>
      </c>
      <c r="D86" s="2">
        <v>1</v>
      </c>
      <c r="E86" s="1">
        <v>42079</v>
      </c>
      <c r="F86" s="3">
        <v>0.8246296296296296</v>
      </c>
      <c r="G86">
        <v>21</v>
      </c>
      <c r="H86">
        <v>21</v>
      </c>
      <c r="I86" t="s">
        <v>20</v>
      </c>
      <c r="J86" t="s">
        <v>26</v>
      </c>
      <c r="K86" t="s">
        <v>72</v>
      </c>
      <c r="L86" t="s">
        <v>73</v>
      </c>
    </row>
    <row r="87" spans="1:12" x14ac:dyDescent="0.2">
      <c r="A87">
        <v>86</v>
      </c>
      <c r="B87" t="s">
        <v>210</v>
      </c>
      <c r="C87" t="s">
        <v>211</v>
      </c>
      <c r="D87" s="2">
        <v>1</v>
      </c>
      <c r="E87" s="1">
        <v>42080</v>
      </c>
      <c r="F87" s="3">
        <v>0.48873842592592592</v>
      </c>
      <c r="G87">
        <v>12.75</v>
      </c>
      <c r="H87">
        <v>12.75</v>
      </c>
      <c r="I87" t="s">
        <v>45</v>
      </c>
      <c r="J87" t="s">
        <v>21</v>
      </c>
      <c r="K87" t="s">
        <v>103</v>
      </c>
      <c r="L87" t="s">
        <v>104</v>
      </c>
    </row>
    <row r="88" spans="1:12" x14ac:dyDescent="0.2">
      <c r="A88">
        <v>87</v>
      </c>
      <c r="B88" t="s">
        <v>212</v>
      </c>
      <c r="C88" t="s">
        <v>213</v>
      </c>
      <c r="D88" s="2">
        <v>1</v>
      </c>
      <c r="E88" s="1">
        <v>42080</v>
      </c>
      <c r="F88" s="3">
        <v>0.58168981481481485</v>
      </c>
      <c r="G88">
        <v>12.5</v>
      </c>
      <c r="H88">
        <v>12.5</v>
      </c>
      <c r="I88" t="s">
        <v>45</v>
      </c>
      <c r="J88" t="s">
        <v>31</v>
      </c>
      <c r="K88" t="s">
        <v>50</v>
      </c>
      <c r="L88" t="s">
        <v>51</v>
      </c>
    </row>
    <row r="89" spans="1:12" x14ac:dyDescent="0.2">
      <c r="A89">
        <v>88</v>
      </c>
      <c r="B89" t="s">
        <v>58</v>
      </c>
      <c r="C89" t="s">
        <v>214</v>
      </c>
      <c r="D89" s="2">
        <v>1</v>
      </c>
      <c r="E89" s="1">
        <v>42086</v>
      </c>
      <c r="F89" s="3">
        <v>0.82695601851851852</v>
      </c>
      <c r="G89">
        <v>17.95</v>
      </c>
      <c r="H89">
        <v>17.95</v>
      </c>
      <c r="I89" t="s">
        <v>20</v>
      </c>
      <c r="J89" t="s">
        <v>26</v>
      </c>
      <c r="K89" t="s">
        <v>60</v>
      </c>
      <c r="L89" t="s">
        <v>61</v>
      </c>
    </row>
    <row r="90" spans="1:12" x14ac:dyDescent="0.2">
      <c r="A90">
        <v>89</v>
      </c>
      <c r="B90" t="s">
        <v>215</v>
      </c>
      <c r="C90" t="s">
        <v>216</v>
      </c>
      <c r="D90" s="2">
        <v>1</v>
      </c>
      <c r="E90" s="1">
        <v>42090</v>
      </c>
      <c r="F90" s="3">
        <v>0.76165509259259256</v>
      </c>
      <c r="G90">
        <v>12</v>
      </c>
      <c r="H90">
        <v>12</v>
      </c>
      <c r="I90" t="s">
        <v>45</v>
      </c>
      <c r="J90" t="s">
        <v>26</v>
      </c>
      <c r="K90" t="s">
        <v>122</v>
      </c>
      <c r="L90" t="s">
        <v>123</v>
      </c>
    </row>
    <row r="91" spans="1:12" x14ac:dyDescent="0.2">
      <c r="A91">
        <v>90</v>
      </c>
      <c r="B91" t="s">
        <v>201</v>
      </c>
      <c r="C91" t="s">
        <v>217</v>
      </c>
      <c r="D91" s="2">
        <v>1</v>
      </c>
      <c r="E91" s="1">
        <v>42090</v>
      </c>
      <c r="F91" s="3">
        <v>0.76347222222222222</v>
      </c>
      <c r="G91">
        <v>16.5</v>
      </c>
      <c r="H91">
        <v>16.5</v>
      </c>
      <c r="I91" t="s">
        <v>14</v>
      </c>
      <c r="J91" t="s">
        <v>31</v>
      </c>
      <c r="K91" t="s">
        <v>50</v>
      </c>
      <c r="L91" t="s">
        <v>51</v>
      </c>
    </row>
    <row r="92" spans="1:12" x14ac:dyDescent="0.2">
      <c r="A92">
        <v>91</v>
      </c>
      <c r="B92" t="s">
        <v>218</v>
      </c>
      <c r="C92" t="s">
        <v>219</v>
      </c>
      <c r="D92" s="2">
        <v>1</v>
      </c>
      <c r="E92" s="1">
        <v>42091</v>
      </c>
      <c r="F92" s="3">
        <v>0.61668981481481477</v>
      </c>
      <c r="G92">
        <v>16.75</v>
      </c>
      <c r="H92">
        <v>16.75</v>
      </c>
      <c r="I92" t="s">
        <v>14</v>
      </c>
      <c r="J92" t="s">
        <v>21</v>
      </c>
      <c r="K92" t="s">
        <v>140</v>
      </c>
      <c r="L92" t="s">
        <v>141</v>
      </c>
    </row>
    <row r="93" spans="1:12" x14ac:dyDescent="0.2">
      <c r="A93">
        <v>92</v>
      </c>
      <c r="B93" t="s">
        <v>101</v>
      </c>
      <c r="C93" t="s">
        <v>220</v>
      </c>
      <c r="D93" s="2">
        <v>1</v>
      </c>
      <c r="E93" s="1">
        <v>42092</v>
      </c>
      <c r="F93" s="3">
        <v>0.52651620370370367</v>
      </c>
      <c r="G93">
        <v>20.75</v>
      </c>
      <c r="H93">
        <v>20.75</v>
      </c>
      <c r="I93" t="s">
        <v>20</v>
      </c>
      <c r="J93" t="s">
        <v>21</v>
      </c>
      <c r="K93" t="s">
        <v>103</v>
      </c>
      <c r="L93" t="s">
        <v>104</v>
      </c>
    </row>
    <row r="94" spans="1:12" x14ac:dyDescent="0.2">
      <c r="A94">
        <v>93</v>
      </c>
      <c r="B94" t="s">
        <v>221</v>
      </c>
      <c r="C94" t="s">
        <v>134</v>
      </c>
      <c r="D94" s="2">
        <v>1</v>
      </c>
      <c r="E94" s="1">
        <v>42093</v>
      </c>
      <c r="F94" s="3">
        <v>0.70560185185185187</v>
      </c>
      <c r="G94">
        <v>16.25</v>
      </c>
      <c r="H94">
        <v>16.25</v>
      </c>
      <c r="I94" t="s">
        <v>14</v>
      </c>
      <c r="J94" t="s">
        <v>31</v>
      </c>
      <c r="K94" t="s">
        <v>146</v>
      </c>
      <c r="L94" t="s">
        <v>147</v>
      </c>
    </row>
    <row r="95" spans="1:12" x14ac:dyDescent="0.2">
      <c r="A95">
        <v>94</v>
      </c>
      <c r="B95" t="s">
        <v>24</v>
      </c>
      <c r="C95" t="s">
        <v>222</v>
      </c>
      <c r="D95" s="2">
        <v>1</v>
      </c>
      <c r="E95" s="1">
        <v>42094</v>
      </c>
      <c r="F95" s="3">
        <v>0.53386574074074078</v>
      </c>
      <c r="G95">
        <v>18.5</v>
      </c>
      <c r="H95">
        <v>18.5</v>
      </c>
      <c r="I95" t="s">
        <v>20</v>
      </c>
      <c r="J95" t="s">
        <v>26</v>
      </c>
      <c r="K95" t="s">
        <v>27</v>
      </c>
      <c r="L95" t="s">
        <v>28</v>
      </c>
    </row>
    <row r="96" spans="1:12" x14ac:dyDescent="0.2">
      <c r="A96">
        <v>95</v>
      </c>
      <c r="B96" t="s">
        <v>66</v>
      </c>
      <c r="C96" t="s">
        <v>223</v>
      </c>
      <c r="D96" s="2">
        <v>1</v>
      </c>
      <c r="E96" s="1">
        <v>42094</v>
      </c>
      <c r="F96" s="3">
        <v>0.92018518518518522</v>
      </c>
      <c r="G96">
        <v>20.75</v>
      </c>
      <c r="H96">
        <v>20.75</v>
      </c>
      <c r="I96" t="s">
        <v>20</v>
      </c>
      <c r="J96" t="s">
        <v>31</v>
      </c>
      <c r="K96" t="s">
        <v>68</v>
      </c>
      <c r="L96" t="s">
        <v>69</v>
      </c>
    </row>
    <row r="97" spans="1:12" x14ac:dyDescent="0.2">
      <c r="A97">
        <v>96</v>
      </c>
      <c r="B97" t="s">
        <v>151</v>
      </c>
      <c r="C97" t="s">
        <v>119</v>
      </c>
      <c r="D97" s="2">
        <v>1</v>
      </c>
      <c r="E97" s="1">
        <v>42095</v>
      </c>
      <c r="F97" s="3">
        <v>0.81200231481481477</v>
      </c>
      <c r="G97">
        <v>20.75</v>
      </c>
      <c r="H97">
        <v>20.75</v>
      </c>
      <c r="I97" t="s">
        <v>20</v>
      </c>
      <c r="J97" t="s">
        <v>31</v>
      </c>
      <c r="K97" t="s">
        <v>88</v>
      </c>
      <c r="L97" t="s">
        <v>89</v>
      </c>
    </row>
    <row r="98" spans="1:12" x14ac:dyDescent="0.2">
      <c r="A98">
        <v>97</v>
      </c>
      <c r="B98" t="s">
        <v>101</v>
      </c>
      <c r="C98" t="s">
        <v>224</v>
      </c>
      <c r="D98" s="2">
        <v>1</v>
      </c>
      <c r="E98" s="1">
        <v>42096</v>
      </c>
      <c r="F98" s="3">
        <v>0.80714120370370368</v>
      </c>
      <c r="G98">
        <v>20.75</v>
      </c>
      <c r="H98">
        <v>20.75</v>
      </c>
      <c r="I98" t="s">
        <v>20</v>
      </c>
      <c r="J98" t="s">
        <v>21</v>
      </c>
      <c r="K98" t="s">
        <v>103</v>
      </c>
      <c r="L98" t="s">
        <v>104</v>
      </c>
    </row>
    <row r="99" spans="1:12" x14ac:dyDescent="0.2">
      <c r="A99">
        <v>98</v>
      </c>
      <c r="B99" t="s">
        <v>175</v>
      </c>
      <c r="C99" t="s">
        <v>225</v>
      </c>
      <c r="D99" s="2">
        <v>1</v>
      </c>
      <c r="E99" s="1">
        <v>42098</v>
      </c>
      <c r="F99" s="3">
        <v>0.52758101851851846</v>
      </c>
      <c r="G99">
        <v>12</v>
      </c>
      <c r="H99">
        <v>12</v>
      </c>
      <c r="I99" t="s">
        <v>45</v>
      </c>
      <c r="J99" t="s">
        <v>15</v>
      </c>
      <c r="K99" t="s">
        <v>16</v>
      </c>
      <c r="L99" t="s">
        <v>17</v>
      </c>
    </row>
    <row r="100" spans="1:12" x14ac:dyDescent="0.2">
      <c r="A100">
        <v>99</v>
      </c>
      <c r="B100" t="s">
        <v>29</v>
      </c>
      <c r="C100" t="s">
        <v>226</v>
      </c>
      <c r="D100" s="2">
        <v>1</v>
      </c>
      <c r="E100" s="1">
        <v>42100</v>
      </c>
      <c r="F100" s="3">
        <v>0.47043981481481484</v>
      </c>
      <c r="G100">
        <v>20.75</v>
      </c>
      <c r="H100">
        <v>20.75</v>
      </c>
      <c r="I100" t="s">
        <v>20</v>
      </c>
      <c r="J100" t="s">
        <v>31</v>
      </c>
      <c r="K100" t="s">
        <v>32</v>
      </c>
      <c r="L100" t="s">
        <v>33</v>
      </c>
    </row>
    <row r="101" spans="1:12" x14ac:dyDescent="0.2">
      <c r="A101">
        <v>100</v>
      </c>
      <c r="B101" t="s">
        <v>227</v>
      </c>
      <c r="C101" t="s">
        <v>228</v>
      </c>
      <c r="D101" s="2">
        <v>1</v>
      </c>
      <c r="E101" s="1">
        <v>42100</v>
      </c>
      <c r="F101" s="3">
        <v>0.55921296296296297</v>
      </c>
      <c r="G101">
        <v>12</v>
      </c>
      <c r="H101">
        <v>12</v>
      </c>
      <c r="I101" t="s">
        <v>45</v>
      </c>
      <c r="J101" t="s">
        <v>15</v>
      </c>
      <c r="K101" t="s">
        <v>37</v>
      </c>
      <c r="L101" t="s">
        <v>38</v>
      </c>
    </row>
    <row r="102" spans="1:12" x14ac:dyDescent="0.2">
      <c r="A102">
        <v>101</v>
      </c>
      <c r="B102" t="s">
        <v>229</v>
      </c>
      <c r="C102" t="s">
        <v>230</v>
      </c>
      <c r="D102" s="2">
        <v>1</v>
      </c>
      <c r="E102" s="1">
        <v>42100</v>
      </c>
      <c r="F102" s="3">
        <v>0.55921296296296297</v>
      </c>
      <c r="G102">
        <v>20.25</v>
      </c>
      <c r="H102">
        <v>20.25</v>
      </c>
      <c r="I102" t="s">
        <v>20</v>
      </c>
      <c r="J102" t="s">
        <v>26</v>
      </c>
      <c r="K102" t="s">
        <v>122</v>
      </c>
      <c r="L102" t="s">
        <v>123</v>
      </c>
    </row>
    <row r="103" spans="1:12" x14ac:dyDescent="0.2">
      <c r="A103">
        <v>102</v>
      </c>
      <c r="B103" t="s">
        <v>34</v>
      </c>
      <c r="C103" t="s">
        <v>231</v>
      </c>
      <c r="D103" s="2">
        <v>1</v>
      </c>
      <c r="E103" s="1">
        <v>42100</v>
      </c>
      <c r="F103" s="3">
        <v>0.7034259259259259</v>
      </c>
      <c r="G103">
        <v>25.5</v>
      </c>
      <c r="H103">
        <v>25.5</v>
      </c>
      <c r="I103" t="s">
        <v>36</v>
      </c>
      <c r="J103" t="s">
        <v>15</v>
      </c>
      <c r="K103" t="s">
        <v>37</v>
      </c>
      <c r="L103" t="s">
        <v>38</v>
      </c>
    </row>
    <row r="104" spans="1:12" x14ac:dyDescent="0.2">
      <c r="A104">
        <v>103</v>
      </c>
      <c r="B104" t="s">
        <v>79</v>
      </c>
      <c r="C104" t="s">
        <v>232</v>
      </c>
      <c r="D104" s="2">
        <v>1</v>
      </c>
      <c r="E104" s="1">
        <v>42102</v>
      </c>
      <c r="F104" s="3">
        <v>0.71403935185185186</v>
      </c>
      <c r="G104">
        <v>12.75</v>
      </c>
      <c r="H104">
        <v>12.75</v>
      </c>
      <c r="I104" t="s">
        <v>45</v>
      </c>
      <c r="J104" t="s">
        <v>21</v>
      </c>
      <c r="K104" t="s">
        <v>81</v>
      </c>
      <c r="L104" t="s">
        <v>82</v>
      </c>
    </row>
    <row r="105" spans="1:12" x14ac:dyDescent="0.2">
      <c r="A105">
        <v>104</v>
      </c>
      <c r="B105" t="s">
        <v>170</v>
      </c>
      <c r="C105" t="s">
        <v>233</v>
      </c>
      <c r="D105" s="2">
        <v>1</v>
      </c>
      <c r="E105" s="1">
        <v>42102</v>
      </c>
      <c r="F105" s="3">
        <v>0.72807870370370376</v>
      </c>
      <c r="G105">
        <v>12</v>
      </c>
      <c r="H105">
        <v>12</v>
      </c>
      <c r="I105" t="s">
        <v>45</v>
      </c>
      <c r="J105" t="s">
        <v>15</v>
      </c>
      <c r="K105" t="s">
        <v>172</v>
      </c>
      <c r="L105" t="s">
        <v>173</v>
      </c>
    </row>
    <row r="106" spans="1:12" x14ac:dyDescent="0.2">
      <c r="A106">
        <v>105</v>
      </c>
      <c r="B106" t="s">
        <v>234</v>
      </c>
      <c r="C106" t="s">
        <v>235</v>
      </c>
      <c r="D106" s="2">
        <v>1</v>
      </c>
      <c r="E106" s="1">
        <v>42103</v>
      </c>
      <c r="F106" s="3">
        <v>0.49037037037037035</v>
      </c>
      <c r="G106">
        <v>16</v>
      </c>
      <c r="H106">
        <v>16</v>
      </c>
      <c r="I106" t="s">
        <v>14</v>
      </c>
      <c r="J106" t="s">
        <v>26</v>
      </c>
      <c r="K106" t="s">
        <v>197</v>
      </c>
      <c r="L106" t="s">
        <v>198</v>
      </c>
    </row>
    <row r="107" spans="1:12" x14ac:dyDescent="0.2">
      <c r="A107">
        <v>106</v>
      </c>
      <c r="B107" t="s">
        <v>203</v>
      </c>
      <c r="C107" t="s">
        <v>236</v>
      </c>
      <c r="D107" s="2">
        <v>1</v>
      </c>
      <c r="E107" s="1">
        <v>42103</v>
      </c>
      <c r="F107" s="3">
        <v>0.49725694444444446</v>
      </c>
      <c r="G107">
        <v>16.5</v>
      </c>
      <c r="H107">
        <v>16.5</v>
      </c>
      <c r="I107" t="s">
        <v>14</v>
      </c>
      <c r="J107" t="s">
        <v>31</v>
      </c>
      <c r="K107" t="s">
        <v>68</v>
      </c>
      <c r="L107" t="s">
        <v>69</v>
      </c>
    </row>
    <row r="108" spans="1:12" x14ac:dyDescent="0.2">
      <c r="A108">
        <v>107</v>
      </c>
      <c r="B108" t="s">
        <v>101</v>
      </c>
      <c r="C108" t="s">
        <v>237</v>
      </c>
      <c r="D108" s="2">
        <v>1</v>
      </c>
      <c r="E108" s="1">
        <v>42103</v>
      </c>
      <c r="F108" s="3">
        <v>0.68511574074074078</v>
      </c>
      <c r="G108">
        <v>20.75</v>
      </c>
      <c r="H108">
        <v>20.75</v>
      </c>
      <c r="I108" t="s">
        <v>20</v>
      </c>
      <c r="J108" t="s">
        <v>21</v>
      </c>
      <c r="K108" t="s">
        <v>103</v>
      </c>
      <c r="L108" t="s">
        <v>104</v>
      </c>
    </row>
    <row r="109" spans="1:12" x14ac:dyDescent="0.2">
      <c r="A109">
        <v>108</v>
      </c>
      <c r="B109" t="s">
        <v>238</v>
      </c>
      <c r="C109" t="s">
        <v>239</v>
      </c>
      <c r="D109" s="2">
        <v>1</v>
      </c>
      <c r="E109" s="1">
        <v>42105</v>
      </c>
      <c r="F109" s="3">
        <v>0.6888657407407407</v>
      </c>
      <c r="G109">
        <v>20.25</v>
      </c>
      <c r="H109">
        <v>20.25</v>
      </c>
      <c r="I109" t="s">
        <v>20</v>
      </c>
      <c r="J109" t="s">
        <v>26</v>
      </c>
      <c r="K109" t="s">
        <v>56</v>
      </c>
      <c r="L109" t="s">
        <v>57</v>
      </c>
    </row>
    <row r="110" spans="1:12" x14ac:dyDescent="0.2">
      <c r="A110">
        <v>109</v>
      </c>
      <c r="B110" t="s">
        <v>12</v>
      </c>
      <c r="C110" t="s">
        <v>240</v>
      </c>
      <c r="D110" s="2">
        <v>1</v>
      </c>
      <c r="E110" s="1">
        <v>42105</v>
      </c>
      <c r="F110" s="3">
        <v>0.9032175925925926</v>
      </c>
      <c r="G110">
        <v>16</v>
      </c>
      <c r="H110">
        <v>16</v>
      </c>
      <c r="I110" t="s">
        <v>14</v>
      </c>
      <c r="J110" t="s">
        <v>15</v>
      </c>
      <c r="K110" t="s">
        <v>16</v>
      </c>
      <c r="L110" t="s">
        <v>17</v>
      </c>
    </row>
    <row r="111" spans="1:12" x14ac:dyDescent="0.2">
      <c r="A111">
        <v>110</v>
      </c>
      <c r="B111" t="s">
        <v>34</v>
      </c>
      <c r="C111" t="s">
        <v>241</v>
      </c>
      <c r="D111" s="2">
        <v>1</v>
      </c>
      <c r="E111" s="1">
        <v>42105</v>
      </c>
      <c r="F111" s="3">
        <v>0.91311342592592593</v>
      </c>
      <c r="G111">
        <v>25.5</v>
      </c>
      <c r="H111">
        <v>25.5</v>
      </c>
      <c r="I111" t="s">
        <v>36</v>
      </c>
      <c r="J111" t="s">
        <v>15</v>
      </c>
      <c r="K111" t="s">
        <v>37</v>
      </c>
      <c r="L111" t="s">
        <v>38</v>
      </c>
    </row>
    <row r="112" spans="1:12" x14ac:dyDescent="0.2">
      <c r="A112">
        <v>111</v>
      </c>
      <c r="B112" t="s">
        <v>39</v>
      </c>
      <c r="C112" t="s">
        <v>242</v>
      </c>
      <c r="D112" s="2">
        <v>1</v>
      </c>
      <c r="E112" s="1">
        <v>42105</v>
      </c>
      <c r="F112" s="3">
        <v>0.92215277777777782</v>
      </c>
      <c r="G112">
        <v>15.25</v>
      </c>
      <c r="H112">
        <v>15.25</v>
      </c>
      <c r="I112" t="s">
        <v>20</v>
      </c>
      <c r="J112" t="s">
        <v>15</v>
      </c>
      <c r="K112" t="s">
        <v>41</v>
      </c>
      <c r="L112" t="s">
        <v>42</v>
      </c>
    </row>
    <row r="113" spans="1:12" x14ac:dyDescent="0.2">
      <c r="A113">
        <v>112</v>
      </c>
      <c r="B113" t="s">
        <v>34</v>
      </c>
      <c r="C113" t="s">
        <v>243</v>
      </c>
      <c r="D113" s="2">
        <v>1</v>
      </c>
      <c r="E113" s="1">
        <v>42106</v>
      </c>
      <c r="F113" s="3">
        <v>0.49928240740740742</v>
      </c>
      <c r="G113">
        <v>25.5</v>
      </c>
      <c r="H113">
        <v>25.5</v>
      </c>
      <c r="I113" t="s">
        <v>36</v>
      </c>
      <c r="J113" t="s">
        <v>15</v>
      </c>
      <c r="K113" t="s">
        <v>37</v>
      </c>
      <c r="L113" t="s">
        <v>38</v>
      </c>
    </row>
    <row r="114" spans="1:12" x14ac:dyDescent="0.2">
      <c r="A114">
        <v>113</v>
      </c>
      <c r="B114" t="s">
        <v>244</v>
      </c>
      <c r="C114" t="s">
        <v>245</v>
      </c>
      <c r="D114" s="2">
        <v>1</v>
      </c>
      <c r="E114" s="1">
        <v>42107</v>
      </c>
      <c r="F114" s="3">
        <v>0.49055555555555558</v>
      </c>
      <c r="G114">
        <v>20.75</v>
      </c>
      <c r="H114">
        <v>20.75</v>
      </c>
      <c r="I114" t="s">
        <v>20</v>
      </c>
      <c r="J114" t="s">
        <v>21</v>
      </c>
      <c r="K114" t="s">
        <v>131</v>
      </c>
      <c r="L114" t="s">
        <v>132</v>
      </c>
    </row>
    <row r="115" spans="1:12" x14ac:dyDescent="0.2">
      <c r="A115">
        <v>114</v>
      </c>
      <c r="B115" t="s">
        <v>111</v>
      </c>
      <c r="C115" t="s">
        <v>246</v>
      </c>
      <c r="D115" s="2">
        <v>2</v>
      </c>
      <c r="E115" s="1">
        <v>42108</v>
      </c>
      <c r="F115" s="3">
        <v>0.55197916666666669</v>
      </c>
      <c r="G115">
        <v>20.75</v>
      </c>
      <c r="H115">
        <v>41.5</v>
      </c>
      <c r="I115" t="s">
        <v>20</v>
      </c>
      <c r="J115" t="s">
        <v>21</v>
      </c>
      <c r="K115" t="s">
        <v>81</v>
      </c>
      <c r="L115" t="s">
        <v>82</v>
      </c>
    </row>
    <row r="116" spans="1:12" x14ac:dyDescent="0.2">
      <c r="A116">
        <v>115</v>
      </c>
      <c r="B116" t="s">
        <v>101</v>
      </c>
      <c r="C116" t="s">
        <v>247</v>
      </c>
      <c r="D116" s="2">
        <v>1</v>
      </c>
      <c r="E116" s="1">
        <v>42108</v>
      </c>
      <c r="F116" s="3">
        <v>0.872650462962963</v>
      </c>
      <c r="G116">
        <v>20.75</v>
      </c>
      <c r="H116">
        <v>20.75</v>
      </c>
      <c r="I116" t="s">
        <v>20</v>
      </c>
      <c r="J116" t="s">
        <v>21</v>
      </c>
      <c r="K116" t="s">
        <v>103</v>
      </c>
      <c r="L116" t="s">
        <v>104</v>
      </c>
    </row>
    <row r="117" spans="1:12" x14ac:dyDescent="0.2">
      <c r="A117">
        <v>116</v>
      </c>
      <c r="B117" t="s">
        <v>248</v>
      </c>
      <c r="C117" t="s">
        <v>249</v>
      </c>
      <c r="D117" s="2">
        <v>1</v>
      </c>
      <c r="E117" s="1">
        <v>42110</v>
      </c>
      <c r="F117" s="3">
        <v>0.47614583333333332</v>
      </c>
      <c r="G117">
        <v>16.75</v>
      </c>
      <c r="H117">
        <v>16.75</v>
      </c>
      <c r="I117" t="s">
        <v>14</v>
      </c>
      <c r="J117" t="s">
        <v>21</v>
      </c>
      <c r="K117" t="s">
        <v>81</v>
      </c>
      <c r="L117" t="s">
        <v>82</v>
      </c>
    </row>
    <row r="118" spans="1:12" x14ac:dyDescent="0.2">
      <c r="A118">
        <v>117</v>
      </c>
      <c r="B118" t="s">
        <v>58</v>
      </c>
      <c r="C118" t="s">
        <v>250</v>
      </c>
      <c r="D118" s="2">
        <v>1</v>
      </c>
      <c r="E118" s="1">
        <v>42110</v>
      </c>
      <c r="F118" s="3">
        <v>0.7784375</v>
      </c>
      <c r="G118">
        <v>17.95</v>
      </c>
      <c r="H118">
        <v>17.95</v>
      </c>
      <c r="I118" t="s">
        <v>20</v>
      </c>
      <c r="J118" t="s">
        <v>26</v>
      </c>
      <c r="K118" t="s">
        <v>60</v>
      </c>
      <c r="L118" t="s">
        <v>61</v>
      </c>
    </row>
    <row r="119" spans="1:12" x14ac:dyDescent="0.2">
      <c r="A119">
        <v>118</v>
      </c>
      <c r="B119" t="s">
        <v>94</v>
      </c>
      <c r="C119" t="s">
        <v>251</v>
      </c>
      <c r="D119" s="2">
        <v>1</v>
      </c>
      <c r="E119" s="1">
        <v>42110</v>
      </c>
      <c r="F119" s="3">
        <v>0.80251157407407403</v>
      </c>
      <c r="G119">
        <v>9.75</v>
      </c>
      <c r="H119">
        <v>9.75</v>
      </c>
      <c r="I119" t="s">
        <v>45</v>
      </c>
      <c r="J119" t="s">
        <v>15</v>
      </c>
      <c r="K119" t="s">
        <v>41</v>
      </c>
      <c r="L119" t="s">
        <v>42</v>
      </c>
    </row>
    <row r="120" spans="1:12" x14ac:dyDescent="0.2">
      <c r="A120">
        <v>119</v>
      </c>
      <c r="B120" t="s">
        <v>66</v>
      </c>
      <c r="C120" t="s">
        <v>252</v>
      </c>
      <c r="D120" s="2">
        <v>1</v>
      </c>
      <c r="E120" s="1">
        <v>42111</v>
      </c>
      <c r="F120" s="3">
        <v>0.58104166666666668</v>
      </c>
      <c r="G120">
        <v>20.75</v>
      </c>
      <c r="H120">
        <v>20.75</v>
      </c>
      <c r="I120" t="s">
        <v>20</v>
      </c>
      <c r="J120" t="s">
        <v>31</v>
      </c>
      <c r="K120" t="s">
        <v>68</v>
      </c>
      <c r="L120" t="s">
        <v>69</v>
      </c>
    </row>
    <row r="121" spans="1:12" x14ac:dyDescent="0.2">
      <c r="A121">
        <v>120</v>
      </c>
      <c r="B121" t="s">
        <v>24</v>
      </c>
      <c r="C121" t="s">
        <v>253</v>
      </c>
      <c r="D121" s="2">
        <v>1</v>
      </c>
      <c r="E121" s="1">
        <v>42111</v>
      </c>
      <c r="F121" s="3">
        <v>0.62450231481481477</v>
      </c>
      <c r="G121">
        <v>18.5</v>
      </c>
      <c r="H121">
        <v>18.5</v>
      </c>
      <c r="I121" t="s">
        <v>20</v>
      </c>
      <c r="J121" t="s">
        <v>26</v>
      </c>
      <c r="K121" t="s">
        <v>27</v>
      </c>
      <c r="L121" t="s">
        <v>28</v>
      </c>
    </row>
    <row r="122" spans="1:12" x14ac:dyDescent="0.2">
      <c r="A122">
        <v>121</v>
      </c>
      <c r="B122" t="s">
        <v>254</v>
      </c>
      <c r="C122" t="s">
        <v>255</v>
      </c>
      <c r="D122" s="2">
        <v>1</v>
      </c>
      <c r="E122" s="1">
        <v>42111</v>
      </c>
      <c r="F122" s="3">
        <v>0.7225462962962963</v>
      </c>
      <c r="G122">
        <v>16</v>
      </c>
      <c r="H122">
        <v>16</v>
      </c>
      <c r="I122" t="s">
        <v>14</v>
      </c>
      <c r="J122" t="s">
        <v>15</v>
      </c>
      <c r="K122" t="s">
        <v>180</v>
      </c>
      <c r="L122" t="s">
        <v>181</v>
      </c>
    </row>
    <row r="123" spans="1:12" x14ac:dyDescent="0.2">
      <c r="A123">
        <v>122</v>
      </c>
      <c r="B123" t="s">
        <v>256</v>
      </c>
      <c r="C123" t="s">
        <v>257</v>
      </c>
      <c r="D123" s="2">
        <v>1</v>
      </c>
      <c r="E123" s="1">
        <v>42113</v>
      </c>
      <c r="F123" s="3">
        <v>0.66634259259259254</v>
      </c>
      <c r="G123">
        <v>16.75</v>
      </c>
      <c r="H123">
        <v>16.75</v>
      </c>
      <c r="I123" t="s">
        <v>14</v>
      </c>
      <c r="J123" t="s">
        <v>21</v>
      </c>
      <c r="K123" t="s">
        <v>22</v>
      </c>
      <c r="L123" t="s">
        <v>23</v>
      </c>
    </row>
    <row r="124" spans="1:12" x14ac:dyDescent="0.2">
      <c r="A124">
        <v>123</v>
      </c>
      <c r="B124" t="s">
        <v>201</v>
      </c>
      <c r="C124" t="s">
        <v>258</v>
      </c>
      <c r="D124" s="2">
        <v>1</v>
      </c>
      <c r="E124" s="1">
        <v>42115</v>
      </c>
      <c r="F124" s="3">
        <v>0.61872685185185183</v>
      </c>
      <c r="G124">
        <v>16.5</v>
      </c>
      <c r="H124">
        <v>16.5</v>
      </c>
      <c r="I124" t="s">
        <v>14</v>
      </c>
      <c r="J124" t="s">
        <v>31</v>
      </c>
      <c r="K124" t="s">
        <v>50</v>
      </c>
      <c r="L124" t="s">
        <v>51</v>
      </c>
    </row>
    <row r="125" spans="1:12" x14ac:dyDescent="0.2">
      <c r="A125">
        <v>124</v>
      </c>
      <c r="B125" t="s">
        <v>153</v>
      </c>
      <c r="C125" t="s">
        <v>259</v>
      </c>
      <c r="D125" s="2">
        <v>1</v>
      </c>
      <c r="E125" s="1">
        <v>42117</v>
      </c>
      <c r="F125" s="3">
        <v>0.71809027777777779</v>
      </c>
      <c r="G125">
        <v>16.25</v>
      </c>
      <c r="H125">
        <v>16.25</v>
      </c>
      <c r="I125" t="s">
        <v>14</v>
      </c>
      <c r="J125" t="s">
        <v>31</v>
      </c>
      <c r="K125" t="s">
        <v>76</v>
      </c>
      <c r="L125" t="s">
        <v>77</v>
      </c>
    </row>
    <row r="126" spans="1:12" x14ac:dyDescent="0.2">
      <c r="A126">
        <v>125</v>
      </c>
      <c r="B126" t="s">
        <v>229</v>
      </c>
      <c r="C126" t="s">
        <v>260</v>
      </c>
      <c r="D126" s="2">
        <v>1</v>
      </c>
      <c r="E126" s="1">
        <v>42117</v>
      </c>
      <c r="F126" s="3">
        <v>0.74701388888888887</v>
      </c>
      <c r="G126">
        <v>20.25</v>
      </c>
      <c r="H126">
        <v>20.25</v>
      </c>
      <c r="I126" t="s">
        <v>20</v>
      </c>
      <c r="J126" t="s">
        <v>26</v>
      </c>
      <c r="K126" t="s">
        <v>122</v>
      </c>
      <c r="L126" t="s">
        <v>123</v>
      </c>
    </row>
    <row r="127" spans="1:12" x14ac:dyDescent="0.2">
      <c r="A127">
        <v>126</v>
      </c>
      <c r="B127" t="s">
        <v>101</v>
      </c>
      <c r="C127" t="s">
        <v>261</v>
      </c>
      <c r="D127" s="2">
        <v>1</v>
      </c>
      <c r="E127" s="1">
        <v>42118</v>
      </c>
      <c r="F127" s="3">
        <v>0.52233796296296298</v>
      </c>
      <c r="G127">
        <v>20.75</v>
      </c>
      <c r="H127">
        <v>20.75</v>
      </c>
      <c r="I127" t="s">
        <v>20</v>
      </c>
      <c r="J127" t="s">
        <v>21</v>
      </c>
      <c r="K127" t="s">
        <v>103</v>
      </c>
      <c r="L127" t="s">
        <v>104</v>
      </c>
    </row>
    <row r="128" spans="1:12" x14ac:dyDescent="0.2">
      <c r="A128">
        <v>127</v>
      </c>
      <c r="B128" t="s">
        <v>70</v>
      </c>
      <c r="C128" t="s">
        <v>262</v>
      </c>
      <c r="D128" s="2">
        <v>1</v>
      </c>
      <c r="E128" s="1">
        <v>42118</v>
      </c>
      <c r="F128" s="3">
        <v>0.60289351851851847</v>
      </c>
      <c r="G128">
        <v>16.75</v>
      </c>
      <c r="H128">
        <v>16.75</v>
      </c>
      <c r="I128" t="s">
        <v>14</v>
      </c>
      <c r="J128" t="s">
        <v>26</v>
      </c>
      <c r="K128" t="s">
        <v>72</v>
      </c>
      <c r="L128" t="s">
        <v>73</v>
      </c>
    </row>
    <row r="129" spans="1:12" x14ac:dyDescent="0.2">
      <c r="A129">
        <v>128</v>
      </c>
      <c r="B129" t="s">
        <v>221</v>
      </c>
      <c r="C129" t="s">
        <v>263</v>
      </c>
      <c r="D129" s="2">
        <v>1</v>
      </c>
      <c r="E129" s="1">
        <v>42120</v>
      </c>
      <c r="F129" s="3">
        <v>0.50614583333333329</v>
      </c>
      <c r="G129">
        <v>16.25</v>
      </c>
      <c r="H129">
        <v>16.25</v>
      </c>
      <c r="I129" t="s">
        <v>14</v>
      </c>
      <c r="J129" t="s">
        <v>31</v>
      </c>
      <c r="K129" t="s">
        <v>146</v>
      </c>
      <c r="L129" t="s">
        <v>147</v>
      </c>
    </row>
    <row r="130" spans="1:12" x14ac:dyDescent="0.2">
      <c r="A130">
        <v>129</v>
      </c>
      <c r="B130" t="s">
        <v>264</v>
      </c>
      <c r="C130" t="s">
        <v>265</v>
      </c>
      <c r="D130" s="2">
        <v>1</v>
      </c>
      <c r="E130" s="1">
        <v>42123</v>
      </c>
      <c r="F130" s="3">
        <v>0.54206018518518517</v>
      </c>
      <c r="G130">
        <v>12</v>
      </c>
      <c r="H130">
        <v>12</v>
      </c>
      <c r="I130" t="s">
        <v>45</v>
      </c>
      <c r="J130" t="s">
        <v>26</v>
      </c>
      <c r="K130" t="s">
        <v>266</v>
      </c>
      <c r="L130" t="s">
        <v>267</v>
      </c>
    </row>
    <row r="131" spans="1:12" x14ac:dyDescent="0.2">
      <c r="A131">
        <v>130</v>
      </c>
      <c r="B131" t="s">
        <v>162</v>
      </c>
      <c r="C131" t="s">
        <v>268</v>
      </c>
      <c r="D131" s="2">
        <v>1</v>
      </c>
      <c r="E131" s="1">
        <v>42125</v>
      </c>
      <c r="F131" s="3">
        <v>0.66314814814814815</v>
      </c>
      <c r="G131">
        <v>20.75</v>
      </c>
      <c r="H131">
        <v>20.75</v>
      </c>
      <c r="I131" t="s">
        <v>20</v>
      </c>
      <c r="J131" t="s">
        <v>21</v>
      </c>
      <c r="K131" t="s">
        <v>92</v>
      </c>
      <c r="L131" t="s">
        <v>93</v>
      </c>
    </row>
    <row r="132" spans="1:12" x14ac:dyDescent="0.2">
      <c r="A132">
        <v>131</v>
      </c>
      <c r="B132" t="s">
        <v>170</v>
      </c>
      <c r="C132" t="s">
        <v>269</v>
      </c>
      <c r="D132" s="2">
        <v>4</v>
      </c>
      <c r="E132" s="1">
        <v>42125</v>
      </c>
      <c r="F132" s="3">
        <v>0.81172453703703706</v>
      </c>
      <c r="G132">
        <v>12</v>
      </c>
      <c r="H132">
        <v>48</v>
      </c>
      <c r="I132" t="s">
        <v>45</v>
      </c>
      <c r="J132" t="s">
        <v>15</v>
      </c>
      <c r="K132" t="s">
        <v>172</v>
      </c>
      <c r="L132" t="s">
        <v>173</v>
      </c>
    </row>
    <row r="133" spans="1:12" x14ac:dyDescent="0.2">
      <c r="A133">
        <v>132</v>
      </c>
      <c r="B133" t="s">
        <v>270</v>
      </c>
      <c r="C133" t="s">
        <v>271</v>
      </c>
      <c r="D133" s="2">
        <v>1</v>
      </c>
      <c r="E133" s="1">
        <v>42129</v>
      </c>
      <c r="F133" s="3">
        <v>0.54861111111111116</v>
      </c>
      <c r="G133">
        <v>12.5</v>
      </c>
      <c r="H133">
        <v>12.5</v>
      </c>
      <c r="I133" t="s">
        <v>14</v>
      </c>
      <c r="J133" t="s">
        <v>15</v>
      </c>
      <c r="K133" t="s">
        <v>41</v>
      </c>
      <c r="L133" t="s">
        <v>42</v>
      </c>
    </row>
    <row r="134" spans="1:12" x14ac:dyDescent="0.2">
      <c r="A134">
        <v>133</v>
      </c>
      <c r="B134" t="s">
        <v>126</v>
      </c>
      <c r="C134" t="s">
        <v>272</v>
      </c>
      <c r="D134" s="2">
        <v>1</v>
      </c>
      <c r="E134" s="1">
        <v>42129</v>
      </c>
      <c r="F134" s="3">
        <v>0.71506944444444442</v>
      </c>
      <c r="G134">
        <v>10.5</v>
      </c>
      <c r="H134">
        <v>10.5</v>
      </c>
      <c r="I134" t="s">
        <v>45</v>
      </c>
      <c r="J134" t="s">
        <v>15</v>
      </c>
      <c r="K134" t="s">
        <v>107</v>
      </c>
      <c r="L134" t="s">
        <v>108</v>
      </c>
    </row>
    <row r="135" spans="1:12" x14ac:dyDescent="0.2">
      <c r="A135">
        <v>134</v>
      </c>
      <c r="B135" t="s">
        <v>170</v>
      </c>
      <c r="C135" t="s">
        <v>273</v>
      </c>
      <c r="D135" s="2">
        <v>1</v>
      </c>
      <c r="E135" s="1">
        <v>42130</v>
      </c>
      <c r="F135" s="3">
        <v>0.68399305555555556</v>
      </c>
      <c r="G135">
        <v>12</v>
      </c>
      <c r="H135">
        <v>12</v>
      </c>
      <c r="I135" t="s">
        <v>45</v>
      </c>
      <c r="J135" t="s">
        <v>15</v>
      </c>
      <c r="K135" t="s">
        <v>172</v>
      </c>
      <c r="L135" t="s">
        <v>173</v>
      </c>
    </row>
    <row r="136" spans="1:12" x14ac:dyDescent="0.2">
      <c r="A136">
        <v>135</v>
      </c>
      <c r="B136" t="s">
        <v>94</v>
      </c>
      <c r="C136" t="s">
        <v>274</v>
      </c>
      <c r="D136" s="2">
        <v>1</v>
      </c>
      <c r="E136" s="1">
        <v>42132</v>
      </c>
      <c r="F136" s="3">
        <v>0.52226851851851852</v>
      </c>
      <c r="G136">
        <v>9.75</v>
      </c>
      <c r="H136">
        <v>9.75</v>
      </c>
      <c r="I136" t="s">
        <v>45</v>
      </c>
      <c r="J136" t="s">
        <v>15</v>
      </c>
      <c r="K136" t="s">
        <v>41</v>
      </c>
      <c r="L136" t="s">
        <v>42</v>
      </c>
    </row>
    <row r="137" spans="1:12" x14ac:dyDescent="0.2">
      <c r="A137">
        <v>136</v>
      </c>
      <c r="B137" t="s">
        <v>29</v>
      </c>
      <c r="C137" t="s">
        <v>275</v>
      </c>
      <c r="D137" s="2">
        <v>1</v>
      </c>
      <c r="E137" s="1">
        <v>42132</v>
      </c>
      <c r="F137" s="3">
        <v>0.72335648148148146</v>
      </c>
      <c r="G137">
        <v>20.75</v>
      </c>
      <c r="H137">
        <v>20.75</v>
      </c>
      <c r="I137" t="s">
        <v>20</v>
      </c>
      <c r="J137" t="s">
        <v>31</v>
      </c>
      <c r="K137" t="s">
        <v>32</v>
      </c>
      <c r="L137" t="s">
        <v>33</v>
      </c>
    </row>
    <row r="138" spans="1:12" x14ac:dyDescent="0.2">
      <c r="A138">
        <v>137</v>
      </c>
      <c r="B138" t="s">
        <v>276</v>
      </c>
      <c r="C138" t="s">
        <v>277</v>
      </c>
      <c r="D138" s="2">
        <v>1</v>
      </c>
      <c r="E138" s="1">
        <v>42133</v>
      </c>
      <c r="F138" s="3">
        <v>0.65552083333333333</v>
      </c>
      <c r="G138">
        <v>16</v>
      </c>
      <c r="H138">
        <v>16</v>
      </c>
      <c r="I138" t="s">
        <v>14</v>
      </c>
      <c r="J138" t="s">
        <v>15</v>
      </c>
      <c r="K138" t="s">
        <v>184</v>
      </c>
      <c r="L138" t="s">
        <v>185</v>
      </c>
    </row>
    <row r="139" spans="1:12" x14ac:dyDescent="0.2">
      <c r="A139">
        <v>138</v>
      </c>
      <c r="B139" t="s">
        <v>111</v>
      </c>
      <c r="C139" t="s">
        <v>278</v>
      </c>
      <c r="D139" s="2">
        <v>1</v>
      </c>
      <c r="E139" s="1">
        <v>42133</v>
      </c>
      <c r="F139" s="3">
        <v>0.73304398148148153</v>
      </c>
      <c r="G139">
        <v>20.75</v>
      </c>
      <c r="H139">
        <v>20.75</v>
      </c>
      <c r="I139" t="s">
        <v>20</v>
      </c>
      <c r="J139" t="s">
        <v>21</v>
      </c>
      <c r="K139" t="s">
        <v>81</v>
      </c>
      <c r="L139" t="s">
        <v>82</v>
      </c>
    </row>
    <row r="140" spans="1:12" x14ac:dyDescent="0.2">
      <c r="A140">
        <v>139</v>
      </c>
      <c r="B140" t="s">
        <v>175</v>
      </c>
      <c r="C140" t="s">
        <v>279</v>
      </c>
      <c r="D140" s="2">
        <v>1</v>
      </c>
      <c r="E140" s="1">
        <v>42133</v>
      </c>
      <c r="F140" s="3">
        <v>0.7575115740740741</v>
      </c>
      <c r="G140">
        <v>12</v>
      </c>
      <c r="H140">
        <v>12</v>
      </c>
      <c r="I140" t="s">
        <v>45</v>
      </c>
      <c r="J140" t="s">
        <v>15</v>
      </c>
      <c r="K140" t="s">
        <v>16</v>
      </c>
      <c r="L140" t="s">
        <v>17</v>
      </c>
    </row>
    <row r="141" spans="1:12" x14ac:dyDescent="0.2">
      <c r="A141">
        <v>140</v>
      </c>
      <c r="B141" t="s">
        <v>58</v>
      </c>
      <c r="C141" t="s">
        <v>280</v>
      </c>
      <c r="D141" s="2">
        <v>1</v>
      </c>
      <c r="E141" s="1">
        <v>42134</v>
      </c>
      <c r="F141" s="3">
        <v>0.6448842592592593</v>
      </c>
      <c r="G141">
        <v>17.95</v>
      </c>
      <c r="H141">
        <v>17.95</v>
      </c>
      <c r="I141" t="s">
        <v>20</v>
      </c>
      <c r="J141" t="s">
        <v>26</v>
      </c>
      <c r="K141" t="s">
        <v>60</v>
      </c>
      <c r="L141" t="s">
        <v>61</v>
      </c>
    </row>
    <row r="142" spans="1:12" x14ac:dyDescent="0.2">
      <c r="A142">
        <v>141</v>
      </c>
      <c r="B142" t="s">
        <v>256</v>
      </c>
      <c r="C142" t="s">
        <v>281</v>
      </c>
      <c r="D142" s="2">
        <v>1</v>
      </c>
      <c r="E142" s="1">
        <v>42134</v>
      </c>
      <c r="F142" s="3">
        <v>0.70212962962962966</v>
      </c>
      <c r="G142">
        <v>16.75</v>
      </c>
      <c r="H142">
        <v>16.75</v>
      </c>
      <c r="I142" t="s">
        <v>14</v>
      </c>
      <c r="J142" t="s">
        <v>21</v>
      </c>
      <c r="K142" t="s">
        <v>22</v>
      </c>
      <c r="L142" t="s">
        <v>23</v>
      </c>
    </row>
    <row r="143" spans="1:12" x14ac:dyDescent="0.2">
      <c r="A143">
        <v>142</v>
      </c>
      <c r="B143" t="s">
        <v>282</v>
      </c>
      <c r="C143" t="s">
        <v>283</v>
      </c>
      <c r="D143" s="2">
        <v>1</v>
      </c>
      <c r="E143" s="1">
        <v>42134</v>
      </c>
      <c r="F143" s="3">
        <v>0.73978009259259259</v>
      </c>
      <c r="G143">
        <v>12</v>
      </c>
      <c r="H143">
        <v>12</v>
      </c>
      <c r="I143" t="s">
        <v>45</v>
      </c>
      <c r="J143" t="s">
        <v>26</v>
      </c>
      <c r="K143" t="s">
        <v>98</v>
      </c>
      <c r="L143" t="s">
        <v>99</v>
      </c>
    </row>
    <row r="144" spans="1:12" x14ac:dyDescent="0.2">
      <c r="A144">
        <v>143</v>
      </c>
      <c r="B144" t="s">
        <v>117</v>
      </c>
      <c r="C144" t="s">
        <v>284</v>
      </c>
      <c r="D144" s="2">
        <v>1</v>
      </c>
      <c r="E144" s="1">
        <v>42134</v>
      </c>
      <c r="F144" s="3">
        <v>0.74092592592592588</v>
      </c>
      <c r="G144">
        <v>16</v>
      </c>
      <c r="H144">
        <v>16</v>
      </c>
      <c r="I144" t="s">
        <v>14</v>
      </c>
      <c r="J144" t="s">
        <v>26</v>
      </c>
      <c r="K144" t="s">
        <v>56</v>
      </c>
      <c r="L144" t="s">
        <v>57</v>
      </c>
    </row>
    <row r="145" spans="1:12" x14ac:dyDescent="0.2">
      <c r="A145">
        <v>144</v>
      </c>
      <c r="B145" t="s">
        <v>158</v>
      </c>
      <c r="C145" t="s">
        <v>285</v>
      </c>
      <c r="D145" s="2">
        <v>1</v>
      </c>
      <c r="E145" s="1">
        <v>42134</v>
      </c>
      <c r="F145" s="3">
        <v>0.74092592592592588</v>
      </c>
      <c r="G145">
        <v>20.75</v>
      </c>
      <c r="H145">
        <v>20.75</v>
      </c>
      <c r="I145" t="s">
        <v>20</v>
      </c>
      <c r="J145" t="s">
        <v>31</v>
      </c>
      <c r="K145" t="s">
        <v>46</v>
      </c>
      <c r="L145" t="s">
        <v>47</v>
      </c>
    </row>
    <row r="146" spans="1:12" x14ac:dyDescent="0.2">
      <c r="A146">
        <v>145</v>
      </c>
      <c r="B146" t="s">
        <v>94</v>
      </c>
      <c r="C146" t="s">
        <v>286</v>
      </c>
      <c r="D146" s="2">
        <v>1</v>
      </c>
      <c r="E146" s="1">
        <v>42134</v>
      </c>
      <c r="F146" s="3">
        <v>0.74222222222222223</v>
      </c>
      <c r="G146">
        <v>9.75</v>
      </c>
      <c r="H146">
        <v>9.75</v>
      </c>
      <c r="I146" t="s">
        <v>45</v>
      </c>
      <c r="J146" t="s">
        <v>15</v>
      </c>
      <c r="K146" t="s">
        <v>41</v>
      </c>
      <c r="L146" t="s">
        <v>42</v>
      </c>
    </row>
    <row r="147" spans="1:12" x14ac:dyDescent="0.2">
      <c r="A147">
        <v>146</v>
      </c>
      <c r="B147" t="s">
        <v>58</v>
      </c>
      <c r="C147" t="s">
        <v>287</v>
      </c>
      <c r="D147" s="2">
        <v>1</v>
      </c>
      <c r="E147" s="1">
        <v>42134</v>
      </c>
      <c r="F147" s="3">
        <v>0.84168981481481486</v>
      </c>
      <c r="G147">
        <v>17.95</v>
      </c>
      <c r="H147">
        <v>17.95</v>
      </c>
      <c r="I147" t="s">
        <v>20</v>
      </c>
      <c r="J147" t="s">
        <v>26</v>
      </c>
      <c r="K147" t="s">
        <v>60</v>
      </c>
      <c r="L147" t="s">
        <v>61</v>
      </c>
    </row>
    <row r="148" spans="1:12" x14ac:dyDescent="0.2">
      <c r="A148">
        <v>147</v>
      </c>
      <c r="B148" t="s">
        <v>34</v>
      </c>
      <c r="C148" t="s">
        <v>260</v>
      </c>
      <c r="D148" s="2">
        <v>1</v>
      </c>
      <c r="E148" s="1">
        <v>42135</v>
      </c>
      <c r="F148" s="3">
        <v>0.73590277777777779</v>
      </c>
      <c r="G148">
        <v>25.5</v>
      </c>
      <c r="H148">
        <v>25.5</v>
      </c>
      <c r="I148" t="s">
        <v>36</v>
      </c>
      <c r="J148" t="s">
        <v>15</v>
      </c>
      <c r="K148" t="s">
        <v>37</v>
      </c>
      <c r="L148" t="s">
        <v>38</v>
      </c>
    </row>
    <row r="149" spans="1:12" x14ac:dyDescent="0.2">
      <c r="A149">
        <v>148</v>
      </c>
      <c r="B149" t="s">
        <v>24</v>
      </c>
      <c r="C149" t="s">
        <v>288</v>
      </c>
      <c r="D149" s="2">
        <v>1</v>
      </c>
      <c r="E149" s="1">
        <v>42135</v>
      </c>
      <c r="F149" s="3">
        <v>0.75343749999999998</v>
      </c>
      <c r="G149">
        <v>18.5</v>
      </c>
      <c r="H149">
        <v>18.5</v>
      </c>
      <c r="I149" t="s">
        <v>20</v>
      </c>
      <c r="J149" t="s">
        <v>26</v>
      </c>
      <c r="K149" t="s">
        <v>27</v>
      </c>
      <c r="L149" t="s">
        <v>28</v>
      </c>
    </row>
    <row r="150" spans="1:12" x14ac:dyDescent="0.2">
      <c r="A150">
        <v>149</v>
      </c>
      <c r="B150" t="s">
        <v>90</v>
      </c>
      <c r="C150" t="s">
        <v>289</v>
      </c>
      <c r="D150" s="2">
        <v>1</v>
      </c>
      <c r="E150" s="1">
        <v>42135</v>
      </c>
      <c r="F150" s="3">
        <v>0.80596064814814816</v>
      </c>
      <c r="G150">
        <v>12.75</v>
      </c>
      <c r="H150">
        <v>12.75</v>
      </c>
      <c r="I150" t="s">
        <v>45</v>
      </c>
      <c r="J150" t="s">
        <v>21</v>
      </c>
      <c r="K150" t="s">
        <v>92</v>
      </c>
      <c r="L150" t="s">
        <v>93</v>
      </c>
    </row>
    <row r="151" spans="1:12" x14ac:dyDescent="0.2">
      <c r="A151">
        <v>150</v>
      </c>
      <c r="B151" t="s">
        <v>48</v>
      </c>
      <c r="C151" t="s">
        <v>290</v>
      </c>
      <c r="D151" s="2">
        <v>1</v>
      </c>
      <c r="E151" s="1">
        <v>42136</v>
      </c>
      <c r="F151" s="3">
        <v>0.55118055555555556</v>
      </c>
      <c r="G151">
        <v>20.75</v>
      </c>
      <c r="H151">
        <v>20.75</v>
      </c>
      <c r="I151" t="s">
        <v>20</v>
      </c>
      <c r="J151" t="s">
        <v>31</v>
      </c>
      <c r="K151" t="s">
        <v>50</v>
      </c>
      <c r="L151" t="s">
        <v>51</v>
      </c>
    </row>
    <row r="152" spans="1:12" x14ac:dyDescent="0.2">
      <c r="A152">
        <v>151</v>
      </c>
      <c r="B152" t="s">
        <v>105</v>
      </c>
      <c r="C152" t="s">
        <v>291</v>
      </c>
      <c r="D152" s="2">
        <v>1</v>
      </c>
      <c r="E152" s="1">
        <v>42136</v>
      </c>
      <c r="F152" s="3">
        <v>0.76509259259259255</v>
      </c>
      <c r="G152">
        <v>16.5</v>
      </c>
      <c r="H152">
        <v>16.5</v>
      </c>
      <c r="I152" t="s">
        <v>20</v>
      </c>
      <c r="J152" t="s">
        <v>15</v>
      </c>
      <c r="K152" t="s">
        <v>107</v>
      </c>
      <c r="L152" t="s">
        <v>108</v>
      </c>
    </row>
    <row r="153" spans="1:12" x14ac:dyDescent="0.2">
      <c r="A153">
        <v>152</v>
      </c>
      <c r="B153" t="s">
        <v>292</v>
      </c>
      <c r="C153" t="s">
        <v>293</v>
      </c>
      <c r="D153" s="2">
        <v>1</v>
      </c>
      <c r="E153" s="1">
        <v>42138</v>
      </c>
      <c r="F153" s="3">
        <v>0.54464120370370372</v>
      </c>
      <c r="G153">
        <v>12.75</v>
      </c>
      <c r="H153">
        <v>12.75</v>
      </c>
      <c r="I153" t="s">
        <v>45</v>
      </c>
      <c r="J153" t="s">
        <v>21</v>
      </c>
      <c r="K153" t="s">
        <v>22</v>
      </c>
      <c r="L153" t="s">
        <v>23</v>
      </c>
    </row>
    <row r="154" spans="1:12" x14ac:dyDescent="0.2">
      <c r="A154">
        <v>153</v>
      </c>
      <c r="B154" t="s">
        <v>12</v>
      </c>
      <c r="C154" t="s">
        <v>294</v>
      </c>
      <c r="D154" s="2">
        <v>1</v>
      </c>
      <c r="E154" s="1">
        <v>42138</v>
      </c>
      <c r="F154" s="3">
        <v>0.55996527777777783</v>
      </c>
      <c r="G154">
        <v>16</v>
      </c>
      <c r="H154">
        <v>16</v>
      </c>
      <c r="I154" t="s">
        <v>14</v>
      </c>
      <c r="J154" t="s">
        <v>15</v>
      </c>
      <c r="K154" t="s">
        <v>16</v>
      </c>
      <c r="L154" t="s">
        <v>17</v>
      </c>
    </row>
    <row r="155" spans="1:12" x14ac:dyDescent="0.2">
      <c r="A155">
        <v>154</v>
      </c>
      <c r="B155" t="s">
        <v>238</v>
      </c>
      <c r="C155" t="s">
        <v>295</v>
      </c>
      <c r="D155" s="2">
        <v>1</v>
      </c>
      <c r="E155" s="1">
        <v>42138</v>
      </c>
      <c r="F155" s="3">
        <v>0.56137731481481479</v>
      </c>
      <c r="G155">
        <v>20.25</v>
      </c>
      <c r="H155">
        <v>20.25</v>
      </c>
      <c r="I155" t="s">
        <v>20</v>
      </c>
      <c r="J155" t="s">
        <v>26</v>
      </c>
      <c r="K155" t="s">
        <v>56</v>
      </c>
      <c r="L155" t="s">
        <v>57</v>
      </c>
    </row>
    <row r="156" spans="1:12" x14ac:dyDescent="0.2">
      <c r="A156">
        <v>155</v>
      </c>
      <c r="B156" t="s">
        <v>296</v>
      </c>
      <c r="C156" t="s">
        <v>183</v>
      </c>
      <c r="D156" s="2">
        <v>1</v>
      </c>
      <c r="E156" s="1">
        <v>42139</v>
      </c>
      <c r="F156" s="3">
        <v>0.62667824074074074</v>
      </c>
      <c r="G156">
        <v>16.5</v>
      </c>
      <c r="H156">
        <v>16.5</v>
      </c>
      <c r="I156" t="s">
        <v>14</v>
      </c>
      <c r="J156" t="s">
        <v>31</v>
      </c>
      <c r="K156" t="s">
        <v>32</v>
      </c>
      <c r="L156" t="s">
        <v>33</v>
      </c>
    </row>
    <row r="157" spans="1:12" x14ac:dyDescent="0.2">
      <c r="A157">
        <v>156</v>
      </c>
      <c r="B157" t="s">
        <v>138</v>
      </c>
      <c r="C157" t="s">
        <v>297</v>
      </c>
      <c r="D157" s="2">
        <v>1</v>
      </c>
      <c r="E157" s="1">
        <v>42139</v>
      </c>
      <c r="F157" s="3">
        <v>0.83523148148148152</v>
      </c>
      <c r="G157">
        <v>20.75</v>
      </c>
      <c r="H157">
        <v>20.75</v>
      </c>
      <c r="I157" t="s">
        <v>20</v>
      </c>
      <c r="J157" t="s">
        <v>21</v>
      </c>
      <c r="K157" t="s">
        <v>140</v>
      </c>
      <c r="L157" t="s">
        <v>141</v>
      </c>
    </row>
    <row r="158" spans="1:12" x14ac:dyDescent="0.2">
      <c r="A158">
        <v>157</v>
      </c>
      <c r="B158" t="s">
        <v>298</v>
      </c>
      <c r="C158" t="s">
        <v>299</v>
      </c>
      <c r="D158" s="2">
        <v>1</v>
      </c>
      <c r="E158" s="1">
        <v>42139</v>
      </c>
      <c r="F158" s="3">
        <v>0.86469907407407409</v>
      </c>
      <c r="G158">
        <v>16</v>
      </c>
      <c r="H158">
        <v>16</v>
      </c>
      <c r="I158" t="s">
        <v>14</v>
      </c>
      <c r="J158" t="s">
        <v>26</v>
      </c>
      <c r="K158" t="s">
        <v>98</v>
      </c>
      <c r="L158" t="s">
        <v>99</v>
      </c>
    </row>
    <row r="159" spans="1:12" x14ac:dyDescent="0.2">
      <c r="A159">
        <v>158</v>
      </c>
      <c r="B159" t="s">
        <v>138</v>
      </c>
      <c r="C159" t="s">
        <v>300</v>
      </c>
      <c r="D159" s="2">
        <v>1</v>
      </c>
      <c r="E159" s="1">
        <v>42139</v>
      </c>
      <c r="F159" s="3">
        <v>0.88253472222222218</v>
      </c>
      <c r="G159">
        <v>20.75</v>
      </c>
      <c r="H159">
        <v>20.75</v>
      </c>
      <c r="I159" t="s">
        <v>20</v>
      </c>
      <c r="J159" t="s">
        <v>21</v>
      </c>
      <c r="K159" t="s">
        <v>140</v>
      </c>
      <c r="L159" t="s">
        <v>141</v>
      </c>
    </row>
    <row r="160" spans="1:12" x14ac:dyDescent="0.2">
      <c r="A160">
        <v>159</v>
      </c>
      <c r="B160" t="s">
        <v>229</v>
      </c>
      <c r="C160" t="s">
        <v>301</v>
      </c>
      <c r="D160" s="2">
        <v>1</v>
      </c>
      <c r="E160" s="1">
        <v>42141</v>
      </c>
      <c r="F160" s="3">
        <v>0.5455092592592593</v>
      </c>
      <c r="G160">
        <v>20.25</v>
      </c>
      <c r="H160">
        <v>20.25</v>
      </c>
      <c r="I160" t="s">
        <v>20</v>
      </c>
      <c r="J160" t="s">
        <v>26</v>
      </c>
      <c r="K160" t="s">
        <v>122</v>
      </c>
      <c r="L160" t="s">
        <v>123</v>
      </c>
    </row>
    <row r="161" spans="1:12" x14ac:dyDescent="0.2">
      <c r="A161">
        <v>160</v>
      </c>
      <c r="B161" t="s">
        <v>58</v>
      </c>
      <c r="C161" t="s">
        <v>302</v>
      </c>
      <c r="D161" s="2">
        <v>1</v>
      </c>
      <c r="E161" s="1">
        <v>42142</v>
      </c>
      <c r="F161" s="3">
        <v>0.48068287037037039</v>
      </c>
      <c r="G161">
        <v>17.95</v>
      </c>
      <c r="H161">
        <v>17.95</v>
      </c>
      <c r="I161" t="s">
        <v>20</v>
      </c>
      <c r="J161" t="s">
        <v>26</v>
      </c>
      <c r="K161" t="s">
        <v>60</v>
      </c>
      <c r="L161" t="s">
        <v>61</v>
      </c>
    </row>
    <row r="162" spans="1:12" x14ac:dyDescent="0.2">
      <c r="A162">
        <v>161</v>
      </c>
      <c r="B162" t="s">
        <v>238</v>
      </c>
      <c r="C162" t="s">
        <v>303</v>
      </c>
      <c r="D162" s="2">
        <v>1</v>
      </c>
      <c r="E162" s="1">
        <v>42143</v>
      </c>
      <c r="F162" s="3">
        <v>0.56577546296296299</v>
      </c>
      <c r="G162">
        <v>20.25</v>
      </c>
      <c r="H162">
        <v>20.25</v>
      </c>
      <c r="I162" t="s">
        <v>20</v>
      </c>
      <c r="J162" t="s">
        <v>26</v>
      </c>
      <c r="K162" t="s">
        <v>56</v>
      </c>
      <c r="L162" t="s">
        <v>57</v>
      </c>
    </row>
    <row r="163" spans="1:12" x14ac:dyDescent="0.2">
      <c r="A163">
        <v>162</v>
      </c>
      <c r="B163" t="s">
        <v>101</v>
      </c>
      <c r="C163" t="s">
        <v>304</v>
      </c>
      <c r="D163" s="2">
        <v>1</v>
      </c>
      <c r="E163" s="1">
        <v>42144</v>
      </c>
      <c r="F163" s="3">
        <v>0.65148148148148144</v>
      </c>
      <c r="G163">
        <v>20.75</v>
      </c>
      <c r="H163">
        <v>20.75</v>
      </c>
      <c r="I163" t="s">
        <v>20</v>
      </c>
      <c r="J163" t="s">
        <v>21</v>
      </c>
      <c r="K163" t="s">
        <v>103</v>
      </c>
      <c r="L163" t="s">
        <v>104</v>
      </c>
    </row>
    <row r="164" spans="1:12" x14ac:dyDescent="0.2">
      <c r="A164">
        <v>163</v>
      </c>
      <c r="B164" t="s">
        <v>178</v>
      </c>
      <c r="C164" t="s">
        <v>305</v>
      </c>
      <c r="D164" s="2">
        <v>1</v>
      </c>
      <c r="E164" s="1">
        <v>42145</v>
      </c>
      <c r="F164" s="3">
        <v>0.52598379629629632</v>
      </c>
      <c r="G164">
        <v>20.5</v>
      </c>
      <c r="H164">
        <v>20.5</v>
      </c>
      <c r="I164" t="s">
        <v>20</v>
      </c>
      <c r="J164" t="s">
        <v>15</v>
      </c>
      <c r="K164" t="s">
        <v>180</v>
      </c>
      <c r="L164" t="s">
        <v>181</v>
      </c>
    </row>
    <row r="165" spans="1:12" x14ac:dyDescent="0.2">
      <c r="A165">
        <v>164</v>
      </c>
      <c r="B165" t="s">
        <v>195</v>
      </c>
      <c r="C165" t="s">
        <v>102</v>
      </c>
      <c r="D165" s="2">
        <v>1</v>
      </c>
      <c r="E165" s="1">
        <v>42145</v>
      </c>
      <c r="F165" s="3">
        <v>0.54483796296296294</v>
      </c>
      <c r="G165">
        <v>12</v>
      </c>
      <c r="H165">
        <v>12</v>
      </c>
      <c r="I165" t="s">
        <v>45</v>
      </c>
      <c r="J165" t="s">
        <v>26</v>
      </c>
      <c r="K165" t="s">
        <v>197</v>
      </c>
      <c r="L165" t="s">
        <v>198</v>
      </c>
    </row>
    <row r="166" spans="1:12" x14ac:dyDescent="0.2">
      <c r="A166">
        <v>165</v>
      </c>
      <c r="B166" t="s">
        <v>282</v>
      </c>
      <c r="C166" t="s">
        <v>306</v>
      </c>
      <c r="D166" s="2">
        <v>1</v>
      </c>
      <c r="E166" s="1">
        <v>42145</v>
      </c>
      <c r="F166" s="3">
        <v>0.83712962962962967</v>
      </c>
      <c r="G166">
        <v>12</v>
      </c>
      <c r="H166">
        <v>12</v>
      </c>
      <c r="I166" t="s">
        <v>45</v>
      </c>
      <c r="J166" t="s">
        <v>26</v>
      </c>
      <c r="K166" t="s">
        <v>98</v>
      </c>
      <c r="L166" t="s">
        <v>99</v>
      </c>
    </row>
    <row r="167" spans="1:12" x14ac:dyDescent="0.2">
      <c r="A167">
        <v>166</v>
      </c>
      <c r="B167" t="s">
        <v>307</v>
      </c>
      <c r="C167" t="s">
        <v>30</v>
      </c>
      <c r="D167" s="2">
        <v>1</v>
      </c>
      <c r="E167" s="1">
        <v>42146</v>
      </c>
      <c r="F167" s="3">
        <v>0.64146990740740739</v>
      </c>
      <c r="G167">
        <v>20.25</v>
      </c>
      <c r="H167">
        <v>20.25</v>
      </c>
      <c r="I167" t="s">
        <v>20</v>
      </c>
      <c r="J167" t="s">
        <v>26</v>
      </c>
      <c r="K167" t="s">
        <v>266</v>
      </c>
      <c r="L167" t="s">
        <v>267</v>
      </c>
    </row>
    <row r="168" spans="1:12" x14ac:dyDescent="0.2">
      <c r="A168">
        <v>167</v>
      </c>
      <c r="B168" t="s">
        <v>276</v>
      </c>
      <c r="C168" t="s">
        <v>308</v>
      </c>
      <c r="D168" s="2">
        <v>1</v>
      </c>
      <c r="E168" s="1">
        <v>42149</v>
      </c>
      <c r="F168" s="3">
        <v>0.66631944444444446</v>
      </c>
      <c r="G168">
        <v>16</v>
      </c>
      <c r="H168">
        <v>16</v>
      </c>
      <c r="I168" t="s">
        <v>14</v>
      </c>
      <c r="J168" t="s">
        <v>15</v>
      </c>
      <c r="K168" t="s">
        <v>184</v>
      </c>
      <c r="L168" t="s">
        <v>185</v>
      </c>
    </row>
    <row r="169" spans="1:12" x14ac:dyDescent="0.2">
      <c r="A169">
        <v>168</v>
      </c>
      <c r="B169" t="s">
        <v>12</v>
      </c>
      <c r="C169" t="s">
        <v>309</v>
      </c>
      <c r="D169" s="2">
        <v>1</v>
      </c>
      <c r="E169" s="1">
        <v>42149</v>
      </c>
      <c r="F169" s="3">
        <v>0.71209490740740744</v>
      </c>
      <c r="G169">
        <v>16</v>
      </c>
      <c r="H169">
        <v>16</v>
      </c>
      <c r="I169" t="s">
        <v>14</v>
      </c>
      <c r="J169" t="s">
        <v>15</v>
      </c>
      <c r="K169" t="s">
        <v>16</v>
      </c>
      <c r="L169" t="s">
        <v>17</v>
      </c>
    </row>
    <row r="170" spans="1:12" x14ac:dyDescent="0.2">
      <c r="A170">
        <v>169</v>
      </c>
      <c r="B170" t="s">
        <v>96</v>
      </c>
      <c r="C170" t="s">
        <v>310</v>
      </c>
      <c r="D170" s="2">
        <v>1</v>
      </c>
      <c r="E170" s="1">
        <v>42150</v>
      </c>
      <c r="F170" s="3">
        <v>0.77277777777777779</v>
      </c>
      <c r="G170">
        <v>20.25</v>
      </c>
      <c r="H170">
        <v>20.25</v>
      </c>
      <c r="I170" t="s">
        <v>20</v>
      </c>
      <c r="J170" t="s">
        <v>26</v>
      </c>
      <c r="K170" t="s">
        <v>98</v>
      </c>
      <c r="L170" t="s">
        <v>99</v>
      </c>
    </row>
    <row r="171" spans="1:12" x14ac:dyDescent="0.2">
      <c r="A171">
        <v>170</v>
      </c>
      <c r="B171" t="s">
        <v>164</v>
      </c>
      <c r="C171" t="s">
        <v>311</v>
      </c>
      <c r="D171" s="2">
        <v>1</v>
      </c>
      <c r="E171" s="1">
        <v>42150</v>
      </c>
      <c r="F171" s="3">
        <v>0.93371527777777774</v>
      </c>
      <c r="G171">
        <v>12.5</v>
      </c>
      <c r="H171">
        <v>12.5</v>
      </c>
      <c r="I171" t="s">
        <v>45</v>
      </c>
      <c r="J171" t="s">
        <v>26</v>
      </c>
      <c r="K171" t="s">
        <v>166</v>
      </c>
      <c r="L171" t="s">
        <v>167</v>
      </c>
    </row>
    <row r="172" spans="1:12" x14ac:dyDescent="0.2">
      <c r="A172">
        <v>171</v>
      </c>
      <c r="B172" t="s">
        <v>162</v>
      </c>
      <c r="C172" t="s">
        <v>312</v>
      </c>
      <c r="D172" s="2">
        <v>1</v>
      </c>
      <c r="E172" s="1">
        <v>42151</v>
      </c>
      <c r="F172" s="3">
        <v>0.60351851851851857</v>
      </c>
      <c r="G172">
        <v>20.75</v>
      </c>
      <c r="H172">
        <v>20.75</v>
      </c>
      <c r="I172" t="s">
        <v>20</v>
      </c>
      <c r="J172" t="s">
        <v>21</v>
      </c>
      <c r="K172" t="s">
        <v>92</v>
      </c>
      <c r="L172" t="s">
        <v>93</v>
      </c>
    </row>
    <row r="173" spans="1:12" x14ac:dyDescent="0.2">
      <c r="A173">
        <v>172</v>
      </c>
      <c r="B173" t="s">
        <v>162</v>
      </c>
      <c r="C173" t="s">
        <v>313</v>
      </c>
      <c r="D173" s="2">
        <v>1</v>
      </c>
      <c r="E173" s="1">
        <v>42151</v>
      </c>
      <c r="F173" s="3">
        <v>0.73201388888888885</v>
      </c>
      <c r="G173">
        <v>20.75</v>
      </c>
      <c r="H173">
        <v>20.75</v>
      </c>
      <c r="I173" t="s">
        <v>20</v>
      </c>
      <c r="J173" t="s">
        <v>21</v>
      </c>
      <c r="K173" t="s">
        <v>92</v>
      </c>
      <c r="L173" t="s">
        <v>93</v>
      </c>
    </row>
    <row r="174" spans="1:12" x14ac:dyDescent="0.2">
      <c r="A174">
        <v>173</v>
      </c>
      <c r="B174" t="s">
        <v>34</v>
      </c>
      <c r="C174" t="s">
        <v>314</v>
      </c>
      <c r="D174" s="2">
        <v>1</v>
      </c>
      <c r="E174" s="1">
        <v>42151</v>
      </c>
      <c r="F174" s="3">
        <v>0.74934027777777779</v>
      </c>
      <c r="G174">
        <v>25.5</v>
      </c>
      <c r="H174">
        <v>25.5</v>
      </c>
      <c r="I174" t="s">
        <v>36</v>
      </c>
      <c r="J174" t="s">
        <v>15</v>
      </c>
      <c r="K174" t="s">
        <v>37</v>
      </c>
      <c r="L174" t="s">
        <v>38</v>
      </c>
    </row>
    <row r="175" spans="1:12" x14ac:dyDescent="0.2">
      <c r="A175">
        <v>174</v>
      </c>
      <c r="B175" t="s">
        <v>74</v>
      </c>
      <c r="C175" t="s">
        <v>315</v>
      </c>
      <c r="D175" s="2">
        <v>1</v>
      </c>
      <c r="E175" s="1">
        <v>42153</v>
      </c>
      <c r="F175" s="3">
        <v>0.57287037037037036</v>
      </c>
      <c r="G175">
        <v>12.25</v>
      </c>
      <c r="H175">
        <v>12.25</v>
      </c>
      <c r="I175" t="s">
        <v>45</v>
      </c>
      <c r="J175" t="s">
        <v>31</v>
      </c>
      <c r="K175" t="s">
        <v>76</v>
      </c>
      <c r="L175" t="s">
        <v>77</v>
      </c>
    </row>
    <row r="176" spans="1:12" x14ac:dyDescent="0.2">
      <c r="A176">
        <v>175</v>
      </c>
      <c r="B176" t="s">
        <v>133</v>
      </c>
      <c r="C176" t="s">
        <v>316</v>
      </c>
      <c r="D176" s="2">
        <v>1</v>
      </c>
      <c r="E176" s="1">
        <v>42153</v>
      </c>
      <c r="F176" s="3">
        <v>0.58597222222222223</v>
      </c>
      <c r="G176">
        <v>16.75</v>
      </c>
      <c r="H176">
        <v>16.75</v>
      </c>
      <c r="I176" t="s">
        <v>14</v>
      </c>
      <c r="J176" t="s">
        <v>21</v>
      </c>
      <c r="K176" t="s">
        <v>103</v>
      </c>
      <c r="L176" t="s">
        <v>104</v>
      </c>
    </row>
    <row r="177" spans="1:12" x14ac:dyDescent="0.2">
      <c r="A177">
        <v>176</v>
      </c>
      <c r="B177" t="s">
        <v>86</v>
      </c>
      <c r="C177" t="s">
        <v>317</v>
      </c>
      <c r="D177" s="2">
        <v>1</v>
      </c>
      <c r="E177" s="1">
        <v>42155</v>
      </c>
      <c r="F177" s="3">
        <v>0.73311342592592588</v>
      </c>
      <c r="G177">
        <v>16.5</v>
      </c>
      <c r="H177">
        <v>16.5</v>
      </c>
      <c r="I177" t="s">
        <v>14</v>
      </c>
      <c r="J177" t="s">
        <v>31</v>
      </c>
      <c r="K177" t="s">
        <v>88</v>
      </c>
      <c r="L177" t="s">
        <v>89</v>
      </c>
    </row>
    <row r="178" spans="1:12" x14ac:dyDescent="0.2">
      <c r="A178">
        <v>177</v>
      </c>
      <c r="B178" t="s">
        <v>170</v>
      </c>
      <c r="C178" t="s">
        <v>230</v>
      </c>
      <c r="D178" s="2">
        <v>1</v>
      </c>
      <c r="E178" s="1">
        <v>42156</v>
      </c>
      <c r="F178" s="3">
        <v>0.48449074074074072</v>
      </c>
      <c r="G178">
        <v>12</v>
      </c>
      <c r="H178">
        <v>12</v>
      </c>
      <c r="I178" t="s">
        <v>45</v>
      </c>
      <c r="J178" t="s">
        <v>15</v>
      </c>
      <c r="K178" t="s">
        <v>172</v>
      </c>
      <c r="L178" t="s">
        <v>173</v>
      </c>
    </row>
    <row r="179" spans="1:12" x14ac:dyDescent="0.2">
      <c r="A179">
        <v>178</v>
      </c>
      <c r="B179" t="s">
        <v>170</v>
      </c>
      <c r="C179" t="s">
        <v>318</v>
      </c>
      <c r="D179" s="2">
        <v>1</v>
      </c>
      <c r="E179" s="1">
        <v>42156</v>
      </c>
      <c r="F179" s="3">
        <v>0.50587962962962962</v>
      </c>
      <c r="G179">
        <v>12</v>
      </c>
      <c r="H179">
        <v>12</v>
      </c>
      <c r="I179" t="s">
        <v>45</v>
      </c>
      <c r="J179" t="s">
        <v>15</v>
      </c>
      <c r="K179" t="s">
        <v>172</v>
      </c>
      <c r="L179" t="s">
        <v>173</v>
      </c>
    </row>
    <row r="180" spans="1:12" x14ac:dyDescent="0.2">
      <c r="A180">
        <v>179</v>
      </c>
      <c r="B180" t="s">
        <v>221</v>
      </c>
      <c r="C180" t="s">
        <v>319</v>
      </c>
      <c r="D180" s="2">
        <v>1</v>
      </c>
      <c r="E180" s="1">
        <v>42156</v>
      </c>
      <c r="F180" s="3">
        <v>0.51424768518518515</v>
      </c>
      <c r="G180">
        <v>16.25</v>
      </c>
      <c r="H180">
        <v>16.25</v>
      </c>
      <c r="I180" t="s">
        <v>14</v>
      </c>
      <c r="J180" t="s">
        <v>31</v>
      </c>
      <c r="K180" t="s">
        <v>146</v>
      </c>
      <c r="L180" t="s">
        <v>147</v>
      </c>
    </row>
    <row r="181" spans="1:12" x14ac:dyDescent="0.2">
      <c r="A181">
        <v>180</v>
      </c>
      <c r="B181" t="s">
        <v>170</v>
      </c>
      <c r="C181" t="s">
        <v>320</v>
      </c>
      <c r="D181" s="2">
        <v>1</v>
      </c>
      <c r="E181" s="1">
        <v>42157</v>
      </c>
      <c r="F181" s="3">
        <v>0.60818287037037033</v>
      </c>
      <c r="G181">
        <v>12</v>
      </c>
      <c r="H181">
        <v>12</v>
      </c>
      <c r="I181" t="s">
        <v>45</v>
      </c>
      <c r="J181" t="s">
        <v>15</v>
      </c>
      <c r="K181" t="s">
        <v>172</v>
      </c>
      <c r="L181" t="s">
        <v>173</v>
      </c>
    </row>
    <row r="182" spans="1:12" x14ac:dyDescent="0.2">
      <c r="A182">
        <v>181</v>
      </c>
      <c r="B182" t="s">
        <v>321</v>
      </c>
      <c r="C182" t="s">
        <v>322</v>
      </c>
      <c r="D182" s="2">
        <v>1</v>
      </c>
      <c r="E182" s="1">
        <v>42158</v>
      </c>
      <c r="F182" s="3">
        <v>0.66908564814814819</v>
      </c>
      <c r="G182">
        <v>16.5</v>
      </c>
      <c r="H182">
        <v>16.5</v>
      </c>
      <c r="I182" t="s">
        <v>14</v>
      </c>
      <c r="J182" t="s">
        <v>26</v>
      </c>
      <c r="K182" t="s">
        <v>166</v>
      </c>
      <c r="L182" t="s">
        <v>167</v>
      </c>
    </row>
    <row r="183" spans="1:12" x14ac:dyDescent="0.2">
      <c r="A183">
        <v>182</v>
      </c>
      <c r="B183" t="s">
        <v>218</v>
      </c>
      <c r="C183" t="s">
        <v>323</v>
      </c>
      <c r="D183" s="2">
        <v>1</v>
      </c>
      <c r="E183" s="1">
        <v>42160</v>
      </c>
      <c r="F183" s="3">
        <v>0.63372685185185185</v>
      </c>
      <c r="G183">
        <v>16.75</v>
      </c>
      <c r="H183">
        <v>16.75</v>
      </c>
      <c r="I183" t="s">
        <v>14</v>
      </c>
      <c r="J183" t="s">
        <v>21</v>
      </c>
      <c r="K183" t="s">
        <v>140</v>
      </c>
      <c r="L183" t="s">
        <v>141</v>
      </c>
    </row>
    <row r="184" spans="1:12" x14ac:dyDescent="0.2">
      <c r="A184">
        <v>183</v>
      </c>
      <c r="B184" t="s">
        <v>182</v>
      </c>
      <c r="C184" t="s">
        <v>324</v>
      </c>
      <c r="D184" s="2">
        <v>1</v>
      </c>
      <c r="E184" s="1">
        <v>42160</v>
      </c>
      <c r="F184" s="3">
        <v>0.63372685185185185</v>
      </c>
      <c r="G184">
        <v>12</v>
      </c>
      <c r="H184">
        <v>12</v>
      </c>
      <c r="I184" t="s">
        <v>45</v>
      </c>
      <c r="J184" t="s">
        <v>15</v>
      </c>
      <c r="K184" t="s">
        <v>184</v>
      </c>
      <c r="L184" t="s">
        <v>185</v>
      </c>
    </row>
    <row r="185" spans="1:12" x14ac:dyDescent="0.2">
      <c r="A185">
        <v>184</v>
      </c>
      <c r="B185" t="s">
        <v>52</v>
      </c>
      <c r="C185" t="s">
        <v>325</v>
      </c>
      <c r="D185" s="2">
        <v>1</v>
      </c>
      <c r="E185" s="1">
        <v>42160</v>
      </c>
      <c r="F185" s="3">
        <v>0.63372685185185185</v>
      </c>
      <c r="G185">
        <v>12.5</v>
      </c>
      <c r="H185">
        <v>12.5</v>
      </c>
      <c r="I185" t="s">
        <v>45</v>
      </c>
      <c r="J185" t="s">
        <v>31</v>
      </c>
      <c r="K185" t="s">
        <v>32</v>
      </c>
      <c r="L185" t="s">
        <v>33</v>
      </c>
    </row>
    <row r="186" spans="1:12" x14ac:dyDescent="0.2">
      <c r="A186">
        <v>185</v>
      </c>
      <c r="B186" t="s">
        <v>326</v>
      </c>
      <c r="C186" t="s">
        <v>327</v>
      </c>
      <c r="D186" s="2">
        <v>1</v>
      </c>
      <c r="E186" s="1">
        <v>42160</v>
      </c>
      <c r="F186" s="3">
        <v>0.83837962962962964</v>
      </c>
      <c r="G186">
        <v>20.75</v>
      </c>
      <c r="H186">
        <v>20.75</v>
      </c>
      <c r="I186" t="s">
        <v>20</v>
      </c>
      <c r="J186" t="s">
        <v>31</v>
      </c>
      <c r="K186" t="s">
        <v>328</v>
      </c>
      <c r="L186" t="s">
        <v>329</v>
      </c>
    </row>
    <row r="187" spans="1:12" x14ac:dyDescent="0.2">
      <c r="A187">
        <v>186</v>
      </c>
      <c r="B187" t="s">
        <v>215</v>
      </c>
      <c r="C187" t="s">
        <v>112</v>
      </c>
      <c r="D187" s="2">
        <v>1</v>
      </c>
      <c r="E187" s="1">
        <v>42161</v>
      </c>
      <c r="F187" s="3">
        <v>0.70773148148148146</v>
      </c>
      <c r="G187">
        <v>12</v>
      </c>
      <c r="H187">
        <v>12</v>
      </c>
      <c r="I187" t="s">
        <v>45</v>
      </c>
      <c r="J187" t="s">
        <v>26</v>
      </c>
      <c r="K187" t="s">
        <v>122</v>
      </c>
      <c r="L187" t="s">
        <v>123</v>
      </c>
    </row>
    <row r="188" spans="1:12" x14ac:dyDescent="0.2">
      <c r="A188">
        <v>187</v>
      </c>
      <c r="B188" t="s">
        <v>138</v>
      </c>
      <c r="C188" t="s">
        <v>330</v>
      </c>
      <c r="D188" s="2">
        <v>1</v>
      </c>
      <c r="E188" s="1">
        <v>42161</v>
      </c>
      <c r="F188" s="3">
        <v>0.79636574074074074</v>
      </c>
      <c r="G188">
        <v>20.75</v>
      </c>
      <c r="H188">
        <v>20.75</v>
      </c>
      <c r="I188" t="s">
        <v>20</v>
      </c>
      <c r="J188" t="s">
        <v>21</v>
      </c>
      <c r="K188" t="s">
        <v>140</v>
      </c>
      <c r="L188" t="s">
        <v>141</v>
      </c>
    </row>
    <row r="189" spans="1:12" x14ac:dyDescent="0.2">
      <c r="A189">
        <v>188</v>
      </c>
      <c r="B189" t="s">
        <v>70</v>
      </c>
      <c r="C189" t="s">
        <v>331</v>
      </c>
      <c r="D189" s="2">
        <v>1</v>
      </c>
      <c r="E189" s="1">
        <v>42161</v>
      </c>
      <c r="F189" s="3">
        <v>0.8787962962962963</v>
      </c>
      <c r="G189">
        <v>16.75</v>
      </c>
      <c r="H189">
        <v>16.75</v>
      </c>
      <c r="I189" t="s">
        <v>14</v>
      </c>
      <c r="J189" t="s">
        <v>26</v>
      </c>
      <c r="K189" t="s">
        <v>72</v>
      </c>
      <c r="L189" t="s">
        <v>73</v>
      </c>
    </row>
    <row r="190" spans="1:12" x14ac:dyDescent="0.2">
      <c r="A190">
        <v>189</v>
      </c>
      <c r="B190" t="s">
        <v>170</v>
      </c>
      <c r="C190" t="s">
        <v>332</v>
      </c>
      <c r="D190" s="2">
        <v>1</v>
      </c>
      <c r="E190" s="1">
        <v>42161</v>
      </c>
      <c r="F190" s="3">
        <v>0.88253472222222218</v>
      </c>
      <c r="G190">
        <v>12</v>
      </c>
      <c r="H190">
        <v>12</v>
      </c>
      <c r="I190" t="s">
        <v>45</v>
      </c>
      <c r="J190" t="s">
        <v>15</v>
      </c>
      <c r="K190" t="s">
        <v>172</v>
      </c>
      <c r="L190" t="s">
        <v>173</v>
      </c>
    </row>
    <row r="191" spans="1:12" x14ac:dyDescent="0.2">
      <c r="A191">
        <v>190</v>
      </c>
      <c r="B191" t="s">
        <v>101</v>
      </c>
      <c r="C191" t="s">
        <v>333</v>
      </c>
      <c r="D191" s="2">
        <v>1</v>
      </c>
      <c r="E191" s="1">
        <v>42164</v>
      </c>
      <c r="F191" s="3">
        <v>0.53041666666666665</v>
      </c>
      <c r="G191">
        <v>20.75</v>
      </c>
      <c r="H191">
        <v>20.75</v>
      </c>
      <c r="I191" t="s">
        <v>20</v>
      </c>
      <c r="J191" t="s">
        <v>21</v>
      </c>
      <c r="K191" t="s">
        <v>103</v>
      </c>
      <c r="L191" t="s">
        <v>104</v>
      </c>
    </row>
    <row r="192" spans="1:12" x14ac:dyDescent="0.2">
      <c r="A192">
        <v>191</v>
      </c>
      <c r="B192" t="s">
        <v>58</v>
      </c>
      <c r="C192" t="s">
        <v>334</v>
      </c>
      <c r="D192" s="2">
        <v>1</v>
      </c>
      <c r="E192" s="1">
        <v>42164</v>
      </c>
      <c r="F192" s="3">
        <v>0.58550925925925923</v>
      </c>
      <c r="G192">
        <v>17.95</v>
      </c>
      <c r="H192">
        <v>17.95</v>
      </c>
      <c r="I192" t="s">
        <v>20</v>
      </c>
      <c r="J192" t="s">
        <v>26</v>
      </c>
      <c r="K192" t="s">
        <v>60</v>
      </c>
      <c r="L192" t="s">
        <v>61</v>
      </c>
    </row>
    <row r="193" spans="1:12" x14ac:dyDescent="0.2">
      <c r="A193">
        <v>192</v>
      </c>
      <c r="B193" t="s">
        <v>256</v>
      </c>
      <c r="C193" t="s">
        <v>335</v>
      </c>
      <c r="D193" s="2">
        <v>1</v>
      </c>
      <c r="E193" s="1">
        <v>42164</v>
      </c>
      <c r="F193" s="3">
        <v>0.74145833333333333</v>
      </c>
      <c r="G193">
        <v>16.75</v>
      </c>
      <c r="H193">
        <v>16.75</v>
      </c>
      <c r="I193" t="s">
        <v>14</v>
      </c>
      <c r="J193" t="s">
        <v>21</v>
      </c>
      <c r="K193" t="s">
        <v>22</v>
      </c>
      <c r="L193" t="s">
        <v>23</v>
      </c>
    </row>
    <row r="194" spans="1:12" x14ac:dyDescent="0.2">
      <c r="A194">
        <v>193</v>
      </c>
      <c r="B194" t="s">
        <v>178</v>
      </c>
      <c r="C194" t="s">
        <v>336</v>
      </c>
      <c r="D194" s="2">
        <v>1</v>
      </c>
      <c r="E194" s="1">
        <v>42164</v>
      </c>
      <c r="F194" s="3">
        <v>0.77083333333333337</v>
      </c>
      <c r="G194">
        <v>20.5</v>
      </c>
      <c r="H194">
        <v>20.5</v>
      </c>
      <c r="I194" t="s">
        <v>20</v>
      </c>
      <c r="J194" t="s">
        <v>15</v>
      </c>
      <c r="K194" t="s">
        <v>180</v>
      </c>
      <c r="L194" t="s">
        <v>181</v>
      </c>
    </row>
    <row r="195" spans="1:12" x14ac:dyDescent="0.2">
      <c r="A195">
        <v>194</v>
      </c>
      <c r="B195" t="s">
        <v>270</v>
      </c>
      <c r="C195" t="s">
        <v>337</v>
      </c>
      <c r="D195" s="2">
        <v>1</v>
      </c>
      <c r="E195" s="1">
        <v>42165</v>
      </c>
      <c r="F195" s="3">
        <v>0.50416666666666665</v>
      </c>
      <c r="G195">
        <v>12.5</v>
      </c>
      <c r="H195">
        <v>12.5</v>
      </c>
      <c r="I195" t="s">
        <v>14</v>
      </c>
      <c r="J195" t="s">
        <v>15</v>
      </c>
      <c r="K195" t="s">
        <v>41</v>
      </c>
      <c r="L195" t="s">
        <v>42</v>
      </c>
    </row>
    <row r="196" spans="1:12" x14ac:dyDescent="0.2">
      <c r="A196">
        <v>195</v>
      </c>
      <c r="B196" t="s">
        <v>48</v>
      </c>
      <c r="C196" t="s">
        <v>338</v>
      </c>
      <c r="D196" s="2">
        <v>1</v>
      </c>
      <c r="E196" s="1">
        <v>42167</v>
      </c>
      <c r="F196" s="3">
        <v>0.6615509259259259</v>
      </c>
      <c r="G196">
        <v>20.75</v>
      </c>
      <c r="H196">
        <v>20.75</v>
      </c>
      <c r="I196" t="s">
        <v>20</v>
      </c>
      <c r="J196" t="s">
        <v>31</v>
      </c>
      <c r="K196" t="s">
        <v>50</v>
      </c>
      <c r="L196" t="s">
        <v>51</v>
      </c>
    </row>
    <row r="197" spans="1:12" x14ac:dyDescent="0.2">
      <c r="A197">
        <v>196</v>
      </c>
      <c r="B197" t="s">
        <v>126</v>
      </c>
      <c r="C197" t="s">
        <v>339</v>
      </c>
      <c r="D197" s="2">
        <v>1</v>
      </c>
      <c r="E197" s="1">
        <v>42167</v>
      </c>
      <c r="F197" s="3">
        <v>0.71693287037037035</v>
      </c>
      <c r="G197">
        <v>10.5</v>
      </c>
      <c r="H197">
        <v>10.5</v>
      </c>
      <c r="I197" t="s">
        <v>45</v>
      </c>
      <c r="J197" t="s">
        <v>15</v>
      </c>
      <c r="K197" t="s">
        <v>107</v>
      </c>
      <c r="L197" t="s">
        <v>108</v>
      </c>
    </row>
    <row r="198" spans="1:12" x14ac:dyDescent="0.2">
      <c r="A198">
        <v>197</v>
      </c>
      <c r="B198" t="s">
        <v>101</v>
      </c>
      <c r="C198" t="s">
        <v>340</v>
      </c>
      <c r="D198" s="2">
        <v>1</v>
      </c>
      <c r="E198" s="1">
        <v>42168</v>
      </c>
      <c r="F198" s="3">
        <v>0.70966435185185184</v>
      </c>
      <c r="G198">
        <v>20.75</v>
      </c>
      <c r="H198">
        <v>20.75</v>
      </c>
      <c r="I198" t="s">
        <v>20</v>
      </c>
      <c r="J198" t="s">
        <v>21</v>
      </c>
      <c r="K198" t="s">
        <v>103</v>
      </c>
      <c r="L198" t="s">
        <v>104</v>
      </c>
    </row>
    <row r="199" spans="1:12" x14ac:dyDescent="0.2">
      <c r="A199">
        <v>198</v>
      </c>
      <c r="B199" t="s">
        <v>191</v>
      </c>
      <c r="C199" t="s">
        <v>341</v>
      </c>
      <c r="D199" s="2">
        <v>1</v>
      </c>
      <c r="E199" s="1">
        <v>42168</v>
      </c>
      <c r="F199" s="3">
        <v>0.93748842592592596</v>
      </c>
      <c r="G199">
        <v>20.75</v>
      </c>
      <c r="H199">
        <v>20.75</v>
      </c>
      <c r="I199" t="s">
        <v>20</v>
      </c>
      <c r="J199" t="s">
        <v>26</v>
      </c>
      <c r="K199" t="s">
        <v>166</v>
      </c>
      <c r="L199" t="s">
        <v>167</v>
      </c>
    </row>
    <row r="200" spans="1:12" x14ac:dyDescent="0.2">
      <c r="A200">
        <v>199</v>
      </c>
      <c r="B200" t="s">
        <v>58</v>
      </c>
      <c r="C200" t="s">
        <v>342</v>
      </c>
      <c r="D200" s="2">
        <v>1</v>
      </c>
      <c r="E200" s="1">
        <v>42169</v>
      </c>
      <c r="F200" s="3">
        <v>0.58233796296296292</v>
      </c>
      <c r="G200">
        <v>17.95</v>
      </c>
      <c r="H200">
        <v>17.95</v>
      </c>
      <c r="I200" t="s">
        <v>20</v>
      </c>
      <c r="J200" t="s">
        <v>26</v>
      </c>
      <c r="K200" t="s">
        <v>60</v>
      </c>
      <c r="L200" t="s">
        <v>61</v>
      </c>
    </row>
    <row r="201" spans="1:12" x14ac:dyDescent="0.2">
      <c r="A201">
        <v>200</v>
      </c>
      <c r="B201" t="s">
        <v>158</v>
      </c>
      <c r="C201" t="s">
        <v>343</v>
      </c>
      <c r="D201" s="2">
        <v>1</v>
      </c>
      <c r="E201" s="1">
        <v>42169</v>
      </c>
      <c r="F201" s="3">
        <v>0.60924768518518524</v>
      </c>
      <c r="G201">
        <v>20.75</v>
      </c>
      <c r="H201">
        <v>20.75</v>
      </c>
      <c r="I201" t="s">
        <v>20</v>
      </c>
      <c r="J201" t="s">
        <v>31</v>
      </c>
      <c r="K201" t="s">
        <v>46</v>
      </c>
      <c r="L201" t="s">
        <v>47</v>
      </c>
    </row>
    <row r="202" spans="1:12" x14ac:dyDescent="0.2">
      <c r="A202">
        <v>201</v>
      </c>
      <c r="B202" t="s">
        <v>115</v>
      </c>
      <c r="C202" t="s">
        <v>344</v>
      </c>
      <c r="D202" s="2">
        <v>1</v>
      </c>
      <c r="E202" s="1">
        <v>42169</v>
      </c>
      <c r="F202" s="3">
        <v>0.7631944444444444</v>
      </c>
      <c r="G202">
        <v>12.5</v>
      </c>
      <c r="H202">
        <v>12.5</v>
      </c>
      <c r="I202" t="s">
        <v>45</v>
      </c>
      <c r="J202" t="s">
        <v>31</v>
      </c>
      <c r="K202" t="s">
        <v>68</v>
      </c>
      <c r="L202" t="s">
        <v>69</v>
      </c>
    </row>
    <row r="203" spans="1:12" x14ac:dyDescent="0.2">
      <c r="A203">
        <v>202</v>
      </c>
      <c r="B203" t="s">
        <v>298</v>
      </c>
      <c r="C203" t="s">
        <v>345</v>
      </c>
      <c r="D203" s="2">
        <v>1</v>
      </c>
      <c r="E203" s="1">
        <v>42170</v>
      </c>
      <c r="F203" s="3">
        <v>0.75452546296296297</v>
      </c>
      <c r="G203">
        <v>16</v>
      </c>
      <c r="H203">
        <v>16</v>
      </c>
      <c r="I203" t="s">
        <v>14</v>
      </c>
      <c r="J203" t="s">
        <v>26</v>
      </c>
      <c r="K203" t="s">
        <v>98</v>
      </c>
      <c r="L203" t="s">
        <v>99</v>
      </c>
    </row>
    <row r="204" spans="1:12" x14ac:dyDescent="0.2">
      <c r="A204">
        <v>203</v>
      </c>
      <c r="B204" t="s">
        <v>215</v>
      </c>
      <c r="C204" t="s">
        <v>346</v>
      </c>
      <c r="D204" s="2">
        <v>1</v>
      </c>
      <c r="E204" s="1">
        <v>42170</v>
      </c>
      <c r="F204" s="3">
        <v>0.775787037037037</v>
      </c>
      <c r="G204">
        <v>12</v>
      </c>
      <c r="H204">
        <v>12</v>
      </c>
      <c r="I204" t="s">
        <v>45</v>
      </c>
      <c r="J204" t="s">
        <v>26</v>
      </c>
      <c r="K204" t="s">
        <v>122</v>
      </c>
      <c r="L204" t="s">
        <v>123</v>
      </c>
    </row>
    <row r="205" spans="1:12" x14ac:dyDescent="0.2">
      <c r="A205">
        <v>204</v>
      </c>
      <c r="B205" t="s">
        <v>24</v>
      </c>
      <c r="C205" t="s">
        <v>347</v>
      </c>
      <c r="D205" s="2">
        <v>1</v>
      </c>
      <c r="E205" s="1">
        <v>42171</v>
      </c>
      <c r="F205" s="3">
        <v>0.52724537037037034</v>
      </c>
      <c r="G205">
        <v>18.5</v>
      </c>
      <c r="H205">
        <v>18.5</v>
      </c>
      <c r="I205" t="s">
        <v>20</v>
      </c>
      <c r="J205" t="s">
        <v>26</v>
      </c>
      <c r="K205" t="s">
        <v>27</v>
      </c>
      <c r="L205" t="s">
        <v>28</v>
      </c>
    </row>
    <row r="206" spans="1:12" x14ac:dyDescent="0.2">
      <c r="A206">
        <v>205</v>
      </c>
      <c r="B206" t="s">
        <v>74</v>
      </c>
      <c r="C206" t="s">
        <v>348</v>
      </c>
      <c r="D206" s="2">
        <v>1</v>
      </c>
      <c r="E206" s="1">
        <v>42171</v>
      </c>
      <c r="F206" s="3">
        <v>0.72721064814814818</v>
      </c>
      <c r="G206">
        <v>12.25</v>
      </c>
      <c r="H206">
        <v>12.25</v>
      </c>
      <c r="I206" t="s">
        <v>45</v>
      </c>
      <c r="J206" t="s">
        <v>31</v>
      </c>
      <c r="K206" t="s">
        <v>76</v>
      </c>
      <c r="L206" t="s">
        <v>77</v>
      </c>
    </row>
    <row r="207" spans="1:12" x14ac:dyDescent="0.2">
      <c r="A207">
        <v>206</v>
      </c>
      <c r="B207" t="s">
        <v>84</v>
      </c>
      <c r="C207" t="s">
        <v>349</v>
      </c>
      <c r="D207" s="2">
        <v>1</v>
      </c>
      <c r="E207" s="1">
        <v>42171</v>
      </c>
      <c r="F207" s="3">
        <v>0.78658564814814813</v>
      </c>
      <c r="G207">
        <v>20.25</v>
      </c>
      <c r="H207">
        <v>20.25</v>
      </c>
      <c r="I207" t="s">
        <v>20</v>
      </c>
      <c r="J207" t="s">
        <v>31</v>
      </c>
      <c r="K207" t="s">
        <v>76</v>
      </c>
      <c r="L207" t="s">
        <v>77</v>
      </c>
    </row>
    <row r="208" spans="1:12" x14ac:dyDescent="0.2">
      <c r="A208">
        <v>207</v>
      </c>
      <c r="B208" t="s">
        <v>96</v>
      </c>
      <c r="C208" t="s">
        <v>350</v>
      </c>
      <c r="D208" s="2">
        <v>1</v>
      </c>
      <c r="E208" s="1">
        <v>42172</v>
      </c>
      <c r="F208" s="3">
        <v>0.91113425925925928</v>
      </c>
      <c r="G208">
        <v>20.25</v>
      </c>
      <c r="H208">
        <v>20.25</v>
      </c>
      <c r="I208" t="s">
        <v>20</v>
      </c>
      <c r="J208" t="s">
        <v>26</v>
      </c>
      <c r="K208" t="s">
        <v>98</v>
      </c>
      <c r="L208" t="s">
        <v>99</v>
      </c>
    </row>
    <row r="209" spans="1:12" x14ac:dyDescent="0.2">
      <c r="A209">
        <v>208</v>
      </c>
      <c r="B209" t="s">
        <v>218</v>
      </c>
      <c r="C209" t="s">
        <v>351</v>
      </c>
      <c r="D209" s="2">
        <v>1</v>
      </c>
      <c r="E209" s="1">
        <v>42173</v>
      </c>
      <c r="F209" s="3">
        <v>0.54140046296296296</v>
      </c>
      <c r="G209">
        <v>16.75</v>
      </c>
      <c r="H209">
        <v>16.75</v>
      </c>
      <c r="I209" t="s">
        <v>14</v>
      </c>
      <c r="J209" t="s">
        <v>21</v>
      </c>
      <c r="K209" t="s">
        <v>140</v>
      </c>
      <c r="L209" t="s">
        <v>141</v>
      </c>
    </row>
    <row r="210" spans="1:12" x14ac:dyDescent="0.2">
      <c r="A210">
        <v>209</v>
      </c>
      <c r="B210" t="s">
        <v>151</v>
      </c>
      <c r="C210" t="s">
        <v>352</v>
      </c>
      <c r="D210" s="2">
        <v>1</v>
      </c>
      <c r="E210" s="1">
        <v>42175</v>
      </c>
      <c r="F210" s="3">
        <v>0.72799768518518515</v>
      </c>
      <c r="G210">
        <v>20.75</v>
      </c>
      <c r="H210">
        <v>20.75</v>
      </c>
      <c r="I210" t="s">
        <v>20</v>
      </c>
      <c r="J210" t="s">
        <v>31</v>
      </c>
      <c r="K210" t="s">
        <v>88</v>
      </c>
      <c r="L210" t="s">
        <v>89</v>
      </c>
    </row>
    <row r="211" spans="1:12" x14ac:dyDescent="0.2">
      <c r="A211">
        <v>210</v>
      </c>
      <c r="B211" t="s">
        <v>221</v>
      </c>
      <c r="C211" t="s">
        <v>353</v>
      </c>
      <c r="D211" s="2">
        <v>1</v>
      </c>
      <c r="E211" s="1">
        <v>42176</v>
      </c>
      <c r="F211" s="3">
        <v>0.54952546296296301</v>
      </c>
      <c r="G211">
        <v>16.25</v>
      </c>
      <c r="H211">
        <v>16.25</v>
      </c>
      <c r="I211" t="s">
        <v>14</v>
      </c>
      <c r="J211" t="s">
        <v>31</v>
      </c>
      <c r="K211" t="s">
        <v>146</v>
      </c>
      <c r="L211" t="s">
        <v>147</v>
      </c>
    </row>
    <row r="212" spans="1:12" x14ac:dyDescent="0.2">
      <c r="A212">
        <v>211</v>
      </c>
      <c r="B212" t="s">
        <v>270</v>
      </c>
      <c r="C212" t="s">
        <v>354</v>
      </c>
      <c r="D212" s="2">
        <v>1</v>
      </c>
      <c r="E212" s="1">
        <v>42176</v>
      </c>
      <c r="F212" s="3">
        <v>0.5988310185185185</v>
      </c>
      <c r="G212">
        <v>12.5</v>
      </c>
      <c r="H212">
        <v>12.5</v>
      </c>
      <c r="I212" t="s">
        <v>14</v>
      </c>
      <c r="J212" t="s">
        <v>15</v>
      </c>
      <c r="K212" t="s">
        <v>41</v>
      </c>
      <c r="L212" t="s">
        <v>42</v>
      </c>
    </row>
    <row r="213" spans="1:12" x14ac:dyDescent="0.2">
      <c r="A213">
        <v>212</v>
      </c>
      <c r="B213" t="s">
        <v>270</v>
      </c>
      <c r="C213" t="s">
        <v>355</v>
      </c>
      <c r="D213" s="2">
        <v>1</v>
      </c>
      <c r="E213" s="1">
        <v>42176</v>
      </c>
      <c r="F213" s="3">
        <v>0.72158564814814818</v>
      </c>
      <c r="G213">
        <v>12.5</v>
      </c>
      <c r="H213">
        <v>12.5</v>
      </c>
      <c r="I213" t="s">
        <v>14</v>
      </c>
      <c r="J213" t="s">
        <v>15</v>
      </c>
      <c r="K213" t="s">
        <v>41</v>
      </c>
      <c r="L213" t="s">
        <v>42</v>
      </c>
    </row>
    <row r="214" spans="1:12" x14ac:dyDescent="0.2">
      <c r="A214">
        <v>213</v>
      </c>
      <c r="B214" t="s">
        <v>70</v>
      </c>
      <c r="C214" t="s">
        <v>356</v>
      </c>
      <c r="D214" s="2">
        <v>1</v>
      </c>
      <c r="E214" s="1">
        <v>42178</v>
      </c>
      <c r="F214" s="3">
        <v>0.57710648148148147</v>
      </c>
      <c r="G214">
        <v>16.75</v>
      </c>
      <c r="H214">
        <v>16.75</v>
      </c>
      <c r="I214" t="s">
        <v>14</v>
      </c>
      <c r="J214" t="s">
        <v>26</v>
      </c>
      <c r="K214" t="s">
        <v>72</v>
      </c>
      <c r="L214" t="s">
        <v>73</v>
      </c>
    </row>
    <row r="215" spans="1:12" x14ac:dyDescent="0.2">
      <c r="A215">
        <v>214</v>
      </c>
      <c r="B215" t="s">
        <v>43</v>
      </c>
      <c r="C215" t="s">
        <v>357</v>
      </c>
      <c r="D215" s="2">
        <v>1</v>
      </c>
      <c r="E215" s="1">
        <v>42178</v>
      </c>
      <c r="F215" s="3">
        <v>0.6507060185185185</v>
      </c>
      <c r="G215">
        <v>12.5</v>
      </c>
      <c r="H215">
        <v>12.5</v>
      </c>
      <c r="I215" t="s">
        <v>45</v>
      </c>
      <c r="J215" t="s">
        <v>31</v>
      </c>
      <c r="K215" t="s">
        <v>46</v>
      </c>
      <c r="L215" t="s">
        <v>47</v>
      </c>
    </row>
    <row r="216" spans="1:12" x14ac:dyDescent="0.2">
      <c r="A216">
        <v>215</v>
      </c>
      <c r="B216" t="s">
        <v>66</v>
      </c>
      <c r="C216" t="s">
        <v>358</v>
      </c>
      <c r="D216" s="2">
        <v>1</v>
      </c>
      <c r="E216" s="1">
        <v>42178</v>
      </c>
      <c r="F216" s="3">
        <v>0.70508101851851857</v>
      </c>
      <c r="G216">
        <v>20.75</v>
      </c>
      <c r="H216">
        <v>20.75</v>
      </c>
      <c r="I216" t="s">
        <v>20</v>
      </c>
      <c r="J216" t="s">
        <v>31</v>
      </c>
      <c r="K216" t="s">
        <v>68</v>
      </c>
      <c r="L216" t="s">
        <v>69</v>
      </c>
    </row>
    <row r="217" spans="1:12" x14ac:dyDescent="0.2">
      <c r="A217">
        <v>216</v>
      </c>
      <c r="B217" t="s">
        <v>155</v>
      </c>
      <c r="C217" t="s">
        <v>359</v>
      </c>
      <c r="D217" s="2">
        <v>1</v>
      </c>
      <c r="E217" s="1">
        <v>42179</v>
      </c>
      <c r="F217" s="3">
        <v>0.6086921296296296</v>
      </c>
      <c r="G217">
        <v>16.5</v>
      </c>
      <c r="H217">
        <v>16.5</v>
      </c>
      <c r="I217" t="s">
        <v>14</v>
      </c>
      <c r="J217" t="s">
        <v>31</v>
      </c>
      <c r="K217" t="s">
        <v>46</v>
      </c>
      <c r="L217" t="s">
        <v>47</v>
      </c>
    </row>
    <row r="218" spans="1:12" x14ac:dyDescent="0.2">
      <c r="A218">
        <v>217</v>
      </c>
      <c r="B218" t="s">
        <v>84</v>
      </c>
      <c r="C218" t="s">
        <v>360</v>
      </c>
      <c r="D218" s="2">
        <v>1</v>
      </c>
      <c r="E218" s="1">
        <v>42179</v>
      </c>
      <c r="F218" s="3">
        <v>0.72365740740740736</v>
      </c>
      <c r="G218">
        <v>20.25</v>
      </c>
      <c r="H218">
        <v>20.25</v>
      </c>
      <c r="I218" t="s">
        <v>20</v>
      </c>
      <c r="J218" t="s">
        <v>31</v>
      </c>
      <c r="K218" t="s">
        <v>76</v>
      </c>
      <c r="L218" t="s">
        <v>77</v>
      </c>
    </row>
    <row r="219" spans="1:12" x14ac:dyDescent="0.2">
      <c r="A219">
        <v>218</v>
      </c>
      <c r="B219" t="s">
        <v>254</v>
      </c>
      <c r="C219" t="s">
        <v>361</v>
      </c>
      <c r="D219" s="2">
        <v>1</v>
      </c>
      <c r="E219" s="1">
        <v>42179</v>
      </c>
      <c r="F219" s="3">
        <v>0.82209490740740743</v>
      </c>
      <c r="G219">
        <v>16</v>
      </c>
      <c r="H219">
        <v>16</v>
      </c>
      <c r="I219" t="s">
        <v>14</v>
      </c>
      <c r="J219" t="s">
        <v>15</v>
      </c>
      <c r="K219" t="s">
        <v>180</v>
      </c>
      <c r="L219" t="s">
        <v>181</v>
      </c>
    </row>
    <row r="220" spans="1:12" x14ac:dyDescent="0.2">
      <c r="A220">
        <v>219</v>
      </c>
      <c r="B220" t="s">
        <v>170</v>
      </c>
      <c r="C220" t="s">
        <v>362</v>
      </c>
      <c r="D220" s="2">
        <v>1</v>
      </c>
      <c r="E220" s="1">
        <v>42179</v>
      </c>
      <c r="F220" s="3">
        <v>0.86253472222222227</v>
      </c>
      <c r="G220">
        <v>12</v>
      </c>
      <c r="H220">
        <v>12</v>
      </c>
      <c r="I220" t="s">
        <v>45</v>
      </c>
      <c r="J220" t="s">
        <v>15</v>
      </c>
      <c r="K220" t="s">
        <v>172</v>
      </c>
      <c r="L220" t="s">
        <v>173</v>
      </c>
    </row>
    <row r="221" spans="1:12" x14ac:dyDescent="0.2">
      <c r="A221">
        <v>220</v>
      </c>
      <c r="B221" t="s">
        <v>270</v>
      </c>
      <c r="C221" t="s">
        <v>363</v>
      </c>
      <c r="D221" s="2">
        <v>1</v>
      </c>
      <c r="E221" s="1">
        <v>42180</v>
      </c>
      <c r="F221" s="3">
        <v>0.57207175925925924</v>
      </c>
      <c r="G221">
        <v>12.5</v>
      </c>
      <c r="H221">
        <v>12.5</v>
      </c>
      <c r="I221" t="s">
        <v>14</v>
      </c>
      <c r="J221" t="s">
        <v>15</v>
      </c>
      <c r="K221" t="s">
        <v>41</v>
      </c>
      <c r="L221" t="s">
        <v>42</v>
      </c>
    </row>
    <row r="222" spans="1:12" x14ac:dyDescent="0.2">
      <c r="A222">
        <v>221</v>
      </c>
      <c r="B222" t="s">
        <v>120</v>
      </c>
      <c r="C222" t="s">
        <v>364</v>
      </c>
      <c r="D222" s="2">
        <v>1</v>
      </c>
      <c r="E222" s="1">
        <v>42180</v>
      </c>
      <c r="F222" s="3">
        <v>0.62924768518518515</v>
      </c>
      <c r="G222">
        <v>16</v>
      </c>
      <c r="H222">
        <v>16</v>
      </c>
      <c r="I222" t="s">
        <v>14</v>
      </c>
      <c r="J222" t="s">
        <v>26</v>
      </c>
      <c r="K222" t="s">
        <v>122</v>
      </c>
      <c r="L222" t="s">
        <v>123</v>
      </c>
    </row>
    <row r="223" spans="1:12" x14ac:dyDescent="0.2">
      <c r="A223">
        <v>222</v>
      </c>
      <c r="B223" t="s">
        <v>12</v>
      </c>
      <c r="C223" t="s">
        <v>365</v>
      </c>
      <c r="D223" s="2">
        <v>1</v>
      </c>
      <c r="E223" s="1">
        <v>42180</v>
      </c>
      <c r="F223" s="3">
        <v>0.67732638888888885</v>
      </c>
      <c r="G223">
        <v>16</v>
      </c>
      <c r="H223">
        <v>16</v>
      </c>
      <c r="I223" t="s">
        <v>14</v>
      </c>
      <c r="J223" t="s">
        <v>15</v>
      </c>
      <c r="K223" t="s">
        <v>16</v>
      </c>
      <c r="L223" t="s">
        <v>17</v>
      </c>
    </row>
    <row r="224" spans="1:12" x14ac:dyDescent="0.2">
      <c r="A224">
        <v>223</v>
      </c>
      <c r="B224" t="s">
        <v>366</v>
      </c>
      <c r="C224" t="s">
        <v>367</v>
      </c>
      <c r="D224" s="2">
        <v>1</v>
      </c>
      <c r="E224" s="1">
        <v>42182</v>
      </c>
      <c r="F224" s="3">
        <v>0.49829861111111112</v>
      </c>
      <c r="G224">
        <v>14.5</v>
      </c>
      <c r="H224">
        <v>14.5</v>
      </c>
      <c r="I224" t="s">
        <v>14</v>
      </c>
      <c r="J224" t="s">
        <v>15</v>
      </c>
      <c r="K224" t="s">
        <v>368</v>
      </c>
      <c r="L224" t="s">
        <v>369</v>
      </c>
    </row>
    <row r="225" spans="1:12" x14ac:dyDescent="0.2">
      <c r="A225">
        <v>224</v>
      </c>
      <c r="B225" t="s">
        <v>201</v>
      </c>
      <c r="C225" t="s">
        <v>370</v>
      </c>
      <c r="D225" s="2">
        <v>1</v>
      </c>
      <c r="E225" s="1">
        <v>42182</v>
      </c>
      <c r="F225" s="3">
        <v>0.62851851851851848</v>
      </c>
      <c r="G225">
        <v>16.5</v>
      </c>
      <c r="H225">
        <v>16.5</v>
      </c>
      <c r="I225" t="s">
        <v>14</v>
      </c>
      <c r="J225" t="s">
        <v>31</v>
      </c>
      <c r="K225" t="s">
        <v>50</v>
      </c>
      <c r="L225" t="s">
        <v>51</v>
      </c>
    </row>
    <row r="226" spans="1:12" x14ac:dyDescent="0.2">
      <c r="A226">
        <v>225</v>
      </c>
      <c r="B226" t="s">
        <v>74</v>
      </c>
      <c r="C226" t="s">
        <v>371</v>
      </c>
      <c r="D226" s="2">
        <v>1</v>
      </c>
      <c r="E226" s="1">
        <v>42182</v>
      </c>
      <c r="F226" s="3">
        <v>0.74111111111111116</v>
      </c>
      <c r="G226">
        <v>12.25</v>
      </c>
      <c r="H226">
        <v>12.25</v>
      </c>
      <c r="I226" t="s">
        <v>45</v>
      </c>
      <c r="J226" t="s">
        <v>31</v>
      </c>
      <c r="K226" t="s">
        <v>76</v>
      </c>
      <c r="L226" t="s">
        <v>77</v>
      </c>
    </row>
    <row r="227" spans="1:12" x14ac:dyDescent="0.2">
      <c r="A227">
        <v>226</v>
      </c>
      <c r="B227" t="s">
        <v>79</v>
      </c>
      <c r="C227" t="s">
        <v>372</v>
      </c>
      <c r="D227" s="2">
        <v>1</v>
      </c>
      <c r="E227" s="1">
        <v>42183</v>
      </c>
      <c r="F227" s="3">
        <v>0.63260416666666663</v>
      </c>
      <c r="G227">
        <v>12.75</v>
      </c>
      <c r="H227">
        <v>12.75</v>
      </c>
      <c r="I227" t="s">
        <v>45</v>
      </c>
      <c r="J227" t="s">
        <v>21</v>
      </c>
      <c r="K227" t="s">
        <v>81</v>
      </c>
      <c r="L227" t="s">
        <v>82</v>
      </c>
    </row>
    <row r="228" spans="1:12" x14ac:dyDescent="0.2">
      <c r="A228">
        <v>227</v>
      </c>
      <c r="B228" t="s">
        <v>238</v>
      </c>
      <c r="C228" t="s">
        <v>373</v>
      </c>
      <c r="D228" s="2">
        <v>1</v>
      </c>
      <c r="E228" s="1">
        <v>42184</v>
      </c>
      <c r="F228" s="3">
        <v>0.65297453703703701</v>
      </c>
      <c r="G228">
        <v>20.25</v>
      </c>
      <c r="H228">
        <v>20.25</v>
      </c>
      <c r="I228" t="s">
        <v>20</v>
      </c>
      <c r="J228" t="s">
        <v>26</v>
      </c>
      <c r="K228" t="s">
        <v>56</v>
      </c>
      <c r="L228" t="s">
        <v>57</v>
      </c>
    </row>
    <row r="229" spans="1:12" x14ac:dyDescent="0.2">
      <c r="A229">
        <v>228</v>
      </c>
      <c r="B229" t="s">
        <v>195</v>
      </c>
      <c r="C229" t="s">
        <v>374</v>
      </c>
      <c r="D229" s="2">
        <v>1</v>
      </c>
      <c r="E229" s="1">
        <v>42184</v>
      </c>
      <c r="F229" s="3">
        <v>0.73195601851851855</v>
      </c>
      <c r="G229">
        <v>12</v>
      </c>
      <c r="H229">
        <v>12</v>
      </c>
      <c r="I229" t="s">
        <v>45</v>
      </c>
      <c r="J229" t="s">
        <v>26</v>
      </c>
      <c r="K229" t="s">
        <v>197</v>
      </c>
      <c r="L229" t="s">
        <v>198</v>
      </c>
    </row>
    <row r="230" spans="1:12" x14ac:dyDescent="0.2">
      <c r="A230">
        <v>229</v>
      </c>
      <c r="B230" t="s">
        <v>248</v>
      </c>
      <c r="C230" t="s">
        <v>375</v>
      </c>
      <c r="D230" s="2">
        <v>1</v>
      </c>
      <c r="E230" s="1">
        <v>42184</v>
      </c>
      <c r="F230" s="3">
        <v>0.8691550925925926</v>
      </c>
      <c r="G230">
        <v>16.75</v>
      </c>
      <c r="H230">
        <v>16.75</v>
      </c>
      <c r="I230" t="s">
        <v>14</v>
      </c>
      <c r="J230" t="s">
        <v>21</v>
      </c>
      <c r="K230" t="s">
        <v>81</v>
      </c>
      <c r="L230" t="s">
        <v>82</v>
      </c>
    </row>
    <row r="231" spans="1:12" x14ac:dyDescent="0.2">
      <c r="A231">
        <v>230</v>
      </c>
      <c r="B231" t="s">
        <v>74</v>
      </c>
      <c r="C231" t="s">
        <v>376</v>
      </c>
      <c r="D231" s="2">
        <v>1</v>
      </c>
      <c r="E231" s="1">
        <v>42185</v>
      </c>
      <c r="F231" s="3">
        <v>0.86681712962962965</v>
      </c>
      <c r="G231">
        <v>12.25</v>
      </c>
      <c r="H231">
        <v>12.25</v>
      </c>
      <c r="I231" t="s">
        <v>45</v>
      </c>
      <c r="J231" t="s">
        <v>31</v>
      </c>
      <c r="K231" t="s">
        <v>76</v>
      </c>
      <c r="L231" t="s">
        <v>77</v>
      </c>
    </row>
    <row r="232" spans="1:12" x14ac:dyDescent="0.2">
      <c r="A232">
        <v>231</v>
      </c>
      <c r="B232" t="s">
        <v>191</v>
      </c>
      <c r="C232" t="s">
        <v>377</v>
      </c>
      <c r="D232" s="2">
        <v>1</v>
      </c>
      <c r="E232" s="1">
        <v>42187</v>
      </c>
      <c r="F232" s="3">
        <v>0.56334490740740739</v>
      </c>
      <c r="G232">
        <v>20.75</v>
      </c>
      <c r="H232">
        <v>20.75</v>
      </c>
      <c r="I232" t="s">
        <v>20</v>
      </c>
      <c r="J232" t="s">
        <v>26</v>
      </c>
      <c r="K232" t="s">
        <v>166</v>
      </c>
      <c r="L232" t="s">
        <v>167</v>
      </c>
    </row>
    <row r="233" spans="1:12" x14ac:dyDescent="0.2">
      <c r="A233">
        <v>232</v>
      </c>
      <c r="B233" t="s">
        <v>170</v>
      </c>
      <c r="C233" t="s">
        <v>378</v>
      </c>
      <c r="D233" s="2">
        <v>1</v>
      </c>
      <c r="E233" s="1">
        <v>42187</v>
      </c>
      <c r="F233" s="3">
        <v>0.76489583333333333</v>
      </c>
      <c r="G233">
        <v>12</v>
      </c>
      <c r="H233">
        <v>12</v>
      </c>
      <c r="I233" t="s">
        <v>45</v>
      </c>
      <c r="J233" t="s">
        <v>15</v>
      </c>
      <c r="K233" t="s">
        <v>172</v>
      </c>
      <c r="L233" t="s">
        <v>173</v>
      </c>
    </row>
    <row r="234" spans="1:12" x14ac:dyDescent="0.2">
      <c r="A234">
        <v>233</v>
      </c>
      <c r="B234" t="s">
        <v>111</v>
      </c>
      <c r="C234" t="s">
        <v>379</v>
      </c>
      <c r="D234" s="2">
        <v>1</v>
      </c>
      <c r="E234" s="1">
        <v>42188</v>
      </c>
      <c r="F234" s="3">
        <v>0.71685185185185185</v>
      </c>
      <c r="G234">
        <v>20.75</v>
      </c>
      <c r="H234">
        <v>20.75</v>
      </c>
      <c r="I234" t="s">
        <v>20</v>
      </c>
      <c r="J234" t="s">
        <v>21</v>
      </c>
      <c r="K234" t="s">
        <v>81</v>
      </c>
      <c r="L234" t="s">
        <v>82</v>
      </c>
    </row>
    <row r="235" spans="1:12" x14ac:dyDescent="0.2">
      <c r="A235">
        <v>234</v>
      </c>
      <c r="B235" t="s">
        <v>111</v>
      </c>
      <c r="C235" t="s">
        <v>380</v>
      </c>
      <c r="D235" s="2">
        <v>1</v>
      </c>
      <c r="E235" s="1">
        <v>42188</v>
      </c>
      <c r="F235" s="3">
        <v>0.79921296296296296</v>
      </c>
      <c r="G235">
        <v>20.75</v>
      </c>
      <c r="H235">
        <v>20.75</v>
      </c>
      <c r="I235" t="s">
        <v>20</v>
      </c>
      <c r="J235" t="s">
        <v>21</v>
      </c>
      <c r="K235" t="s">
        <v>81</v>
      </c>
      <c r="L235" t="s">
        <v>82</v>
      </c>
    </row>
    <row r="236" spans="1:12" x14ac:dyDescent="0.2">
      <c r="A236">
        <v>235</v>
      </c>
      <c r="B236" t="s">
        <v>381</v>
      </c>
      <c r="C236" t="s">
        <v>382</v>
      </c>
      <c r="D236" s="2">
        <v>1</v>
      </c>
      <c r="E236" s="1">
        <v>42189</v>
      </c>
      <c r="F236" s="3">
        <v>0.721099537037037</v>
      </c>
      <c r="G236">
        <v>12.25</v>
      </c>
      <c r="H236">
        <v>12.25</v>
      </c>
      <c r="I236" t="s">
        <v>45</v>
      </c>
      <c r="J236" t="s">
        <v>31</v>
      </c>
      <c r="K236" t="s">
        <v>146</v>
      </c>
      <c r="L236" t="s">
        <v>147</v>
      </c>
    </row>
    <row r="237" spans="1:12" x14ac:dyDescent="0.2">
      <c r="A237">
        <v>236</v>
      </c>
      <c r="B237" t="s">
        <v>120</v>
      </c>
      <c r="C237" t="s">
        <v>383</v>
      </c>
      <c r="D237" s="2">
        <v>1</v>
      </c>
      <c r="E237" s="1">
        <v>42189</v>
      </c>
      <c r="F237" s="3">
        <v>0.84526620370370376</v>
      </c>
      <c r="G237">
        <v>16</v>
      </c>
      <c r="H237">
        <v>16</v>
      </c>
      <c r="I237" t="s">
        <v>14</v>
      </c>
      <c r="J237" t="s">
        <v>26</v>
      </c>
      <c r="K237" t="s">
        <v>122</v>
      </c>
      <c r="L237" t="s">
        <v>123</v>
      </c>
    </row>
    <row r="238" spans="1:12" x14ac:dyDescent="0.2">
      <c r="A238">
        <v>237</v>
      </c>
      <c r="B238" t="s">
        <v>221</v>
      </c>
      <c r="C238" t="s">
        <v>384</v>
      </c>
      <c r="D238" s="2">
        <v>1</v>
      </c>
      <c r="E238" s="1">
        <v>42189</v>
      </c>
      <c r="F238" s="3">
        <v>0.85164351851851849</v>
      </c>
      <c r="G238">
        <v>16.25</v>
      </c>
      <c r="H238">
        <v>16.25</v>
      </c>
      <c r="I238" t="s">
        <v>14</v>
      </c>
      <c r="J238" t="s">
        <v>31</v>
      </c>
      <c r="K238" t="s">
        <v>146</v>
      </c>
      <c r="L238" t="s">
        <v>147</v>
      </c>
    </row>
    <row r="239" spans="1:12" x14ac:dyDescent="0.2">
      <c r="A239">
        <v>238</v>
      </c>
      <c r="B239" t="s">
        <v>94</v>
      </c>
      <c r="C239" t="s">
        <v>385</v>
      </c>
      <c r="D239" s="2">
        <v>1</v>
      </c>
      <c r="E239" s="1">
        <v>42189</v>
      </c>
      <c r="F239" s="3">
        <v>0.89067129629629627</v>
      </c>
      <c r="G239">
        <v>9.75</v>
      </c>
      <c r="H239">
        <v>9.75</v>
      </c>
      <c r="I239" t="s">
        <v>45</v>
      </c>
      <c r="J239" t="s">
        <v>15</v>
      </c>
      <c r="K239" t="s">
        <v>41</v>
      </c>
      <c r="L239" t="s">
        <v>42</v>
      </c>
    </row>
    <row r="240" spans="1:12" x14ac:dyDescent="0.2">
      <c r="A240">
        <v>239</v>
      </c>
      <c r="B240" t="s">
        <v>195</v>
      </c>
      <c r="C240" t="s">
        <v>386</v>
      </c>
      <c r="D240" s="2">
        <v>1</v>
      </c>
      <c r="E240" s="1">
        <v>42190</v>
      </c>
      <c r="F240" s="3">
        <v>0.89326388888888886</v>
      </c>
      <c r="G240">
        <v>12</v>
      </c>
      <c r="H240">
        <v>12</v>
      </c>
      <c r="I240" t="s">
        <v>45</v>
      </c>
      <c r="J240" t="s">
        <v>26</v>
      </c>
      <c r="K240" t="s">
        <v>197</v>
      </c>
      <c r="L240" t="s">
        <v>198</v>
      </c>
    </row>
    <row r="241" spans="1:12" x14ac:dyDescent="0.2">
      <c r="A241">
        <v>240</v>
      </c>
      <c r="B241" t="s">
        <v>34</v>
      </c>
      <c r="C241" t="s">
        <v>387</v>
      </c>
      <c r="D241" s="2">
        <v>1</v>
      </c>
      <c r="E241" s="1">
        <v>42192</v>
      </c>
      <c r="F241" s="3">
        <v>0.5522569444444444</v>
      </c>
      <c r="G241">
        <v>25.5</v>
      </c>
      <c r="H241">
        <v>25.5</v>
      </c>
      <c r="I241" t="s">
        <v>36</v>
      </c>
      <c r="J241" t="s">
        <v>15</v>
      </c>
      <c r="K241" t="s">
        <v>37</v>
      </c>
      <c r="L241" t="s">
        <v>38</v>
      </c>
    </row>
    <row r="242" spans="1:12" x14ac:dyDescent="0.2">
      <c r="A242">
        <v>241</v>
      </c>
      <c r="B242" t="s">
        <v>229</v>
      </c>
      <c r="C242" t="s">
        <v>388</v>
      </c>
      <c r="D242" s="2">
        <v>1</v>
      </c>
      <c r="E242" s="1">
        <v>42192</v>
      </c>
      <c r="F242" s="3">
        <v>0.7365856481481482</v>
      </c>
      <c r="G242">
        <v>20.25</v>
      </c>
      <c r="H242">
        <v>20.25</v>
      </c>
      <c r="I242" t="s">
        <v>20</v>
      </c>
      <c r="J242" t="s">
        <v>26</v>
      </c>
      <c r="K242" t="s">
        <v>122</v>
      </c>
      <c r="L242" t="s">
        <v>123</v>
      </c>
    </row>
    <row r="243" spans="1:12" x14ac:dyDescent="0.2">
      <c r="A243">
        <v>242</v>
      </c>
      <c r="B243" t="s">
        <v>170</v>
      </c>
      <c r="C243" t="s">
        <v>389</v>
      </c>
      <c r="D243" s="2">
        <v>1</v>
      </c>
      <c r="E243" s="1">
        <v>42192</v>
      </c>
      <c r="F243" s="3">
        <v>0.82601851851851849</v>
      </c>
      <c r="G243">
        <v>12</v>
      </c>
      <c r="H243">
        <v>12</v>
      </c>
      <c r="I243" t="s">
        <v>45</v>
      </c>
      <c r="J243" t="s">
        <v>15</v>
      </c>
      <c r="K243" t="s">
        <v>172</v>
      </c>
      <c r="L243" t="s">
        <v>173</v>
      </c>
    </row>
    <row r="244" spans="1:12" x14ac:dyDescent="0.2">
      <c r="A244">
        <v>243</v>
      </c>
      <c r="B244" t="s">
        <v>162</v>
      </c>
      <c r="C244" t="s">
        <v>390</v>
      </c>
      <c r="D244" s="2">
        <v>1</v>
      </c>
      <c r="E244" s="1">
        <v>42192</v>
      </c>
      <c r="F244" s="3">
        <v>0.83555555555555561</v>
      </c>
      <c r="G244">
        <v>20.75</v>
      </c>
      <c r="H244">
        <v>20.75</v>
      </c>
      <c r="I244" t="s">
        <v>20</v>
      </c>
      <c r="J244" t="s">
        <v>21</v>
      </c>
      <c r="K244" t="s">
        <v>92</v>
      </c>
      <c r="L244" t="s">
        <v>93</v>
      </c>
    </row>
    <row r="245" spans="1:12" x14ac:dyDescent="0.2">
      <c r="A245">
        <v>244</v>
      </c>
      <c r="B245" t="s">
        <v>187</v>
      </c>
      <c r="C245" t="s">
        <v>391</v>
      </c>
      <c r="D245" s="2">
        <v>1</v>
      </c>
      <c r="E245" s="1">
        <v>42195</v>
      </c>
      <c r="F245" s="3">
        <v>0.93800925925925926</v>
      </c>
      <c r="G245">
        <v>13.25</v>
      </c>
      <c r="H245">
        <v>13.25</v>
      </c>
      <c r="I245" t="s">
        <v>14</v>
      </c>
      <c r="J245" t="s">
        <v>15</v>
      </c>
      <c r="K245" t="s">
        <v>107</v>
      </c>
      <c r="L245" t="s">
        <v>108</v>
      </c>
    </row>
    <row r="246" spans="1:12" x14ac:dyDescent="0.2">
      <c r="A246">
        <v>245</v>
      </c>
      <c r="B246" t="s">
        <v>195</v>
      </c>
      <c r="C246" t="s">
        <v>392</v>
      </c>
      <c r="D246" s="2">
        <v>1</v>
      </c>
      <c r="E246" s="1">
        <v>42196</v>
      </c>
      <c r="F246" s="3">
        <v>0.73335648148148147</v>
      </c>
      <c r="G246">
        <v>12</v>
      </c>
      <c r="H246">
        <v>12</v>
      </c>
      <c r="I246" t="s">
        <v>45</v>
      </c>
      <c r="J246" t="s">
        <v>26</v>
      </c>
      <c r="K246" t="s">
        <v>197</v>
      </c>
      <c r="L246" t="s">
        <v>198</v>
      </c>
    </row>
    <row r="247" spans="1:12" x14ac:dyDescent="0.2">
      <c r="A247">
        <v>246</v>
      </c>
      <c r="B247" t="s">
        <v>158</v>
      </c>
      <c r="C247" t="s">
        <v>393</v>
      </c>
      <c r="D247" s="2">
        <v>1</v>
      </c>
      <c r="E247" s="1">
        <v>42196</v>
      </c>
      <c r="F247" s="3">
        <v>0.82021990740740736</v>
      </c>
      <c r="G247">
        <v>20.75</v>
      </c>
      <c r="H247">
        <v>20.75</v>
      </c>
      <c r="I247" t="s">
        <v>20</v>
      </c>
      <c r="J247" t="s">
        <v>31</v>
      </c>
      <c r="K247" t="s">
        <v>46</v>
      </c>
      <c r="L247" t="s">
        <v>47</v>
      </c>
    </row>
    <row r="248" spans="1:12" x14ac:dyDescent="0.2">
      <c r="A248">
        <v>247</v>
      </c>
      <c r="B248" t="s">
        <v>86</v>
      </c>
      <c r="C248" t="s">
        <v>394</v>
      </c>
      <c r="D248" s="2">
        <v>1</v>
      </c>
      <c r="E248" s="1">
        <v>42199</v>
      </c>
      <c r="F248" s="3">
        <v>0.81997685185185187</v>
      </c>
      <c r="G248">
        <v>16.5</v>
      </c>
      <c r="H248">
        <v>16.5</v>
      </c>
      <c r="I248" t="s">
        <v>14</v>
      </c>
      <c r="J248" t="s">
        <v>31</v>
      </c>
      <c r="K248" t="s">
        <v>88</v>
      </c>
      <c r="L248" t="s">
        <v>89</v>
      </c>
    </row>
    <row r="249" spans="1:12" x14ac:dyDescent="0.2">
      <c r="A249">
        <v>248</v>
      </c>
      <c r="B249" t="s">
        <v>203</v>
      </c>
      <c r="C249" t="s">
        <v>395</v>
      </c>
      <c r="D249" s="2">
        <v>1</v>
      </c>
      <c r="E249" s="1">
        <v>42200</v>
      </c>
      <c r="F249" s="3">
        <v>0.67163194444444441</v>
      </c>
      <c r="G249">
        <v>16.5</v>
      </c>
      <c r="H249">
        <v>16.5</v>
      </c>
      <c r="I249" t="s">
        <v>14</v>
      </c>
      <c r="J249" t="s">
        <v>31</v>
      </c>
      <c r="K249" t="s">
        <v>68</v>
      </c>
      <c r="L249" t="s">
        <v>69</v>
      </c>
    </row>
    <row r="250" spans="1:12" x14ac:dyDescent="0.2">
      <c r="A250">
        <v>249</v>
      </c>
      <c r="B250" t="s">
        <v>124</v>
      </c>
      <c r="C250" t="s">
        <v>396</v>
      </c>
      <c r="D250" s="2">
        <v>1</v>
      </c>
      <c r="E250" s="1">
        <v>42201</v>
      </c>
      <c r="F250" s="3">
        <v>0.68973379629629628</v>
      </c>
      <c r="G250">
        <v>12.5</v>
      </c>
      <c r="H250">
        <v>12.5</v>
      </c>
      <c r="I250" t="s">
        <v>45</v>
      </c>
      <c r="J250" t="s">
        <v>31</v>
      </c>
      <c r="K250" t="s">
        <v>88</v>
      </c>
      <c r="L250" t="s">
        <v>89</v>
      </c>
    </row>
    <row r="251" spans="1:12" x14ac:dyDescent="0.2">
      <c r="A251">
        <v>250</v>
      </c>
      <c r="B251" t="s">
        <v>66</v>
      </c>
      <c r="C251" t="s">
        <v>397</v>
      </c>
      <c r="D251" s="2">
        <v>1</v>
      </c>
      <c r="E251" s="1">
        <v>42201</v>
      </c>
      <c r="F251" s="3">
        <v>0.72355324074074079</v>
      </c>
      <c r="G251">
        <v>20.75</v>
      </c>
      <c r="H251">
        <v>20.75</v>
      </c>
      <c r="I251" t="s">
        <v>20</v>
      </c>
      <c r="J251" t="s">
        <v>31</v>
      </c>
      <c r="K251" t="s">
        <v>68</v>
      </c>
      <c r="L251" t="s">
        <v>69</v>
      </c>
    </row>
    <row r="252" spans="1:12" x14ac:dyDescent="0.2">
      <c r="A252">
        <v>251</v>
      </c>
      <c r="B252" t="s">
        <v>218</v>
      </c>
      <c r="C252" t="s">
        <v>398</v>
      </c>
      <c r="D252" s="2">
        <v>1</v>
      </c>
      <c r="E252" s="1">
        <v>42202</v>
      </c>
      <c r="F252" s="3">
        <v>0.59414351851851854</v>
      </c>
      <c r="G252">
        <v>16.75</v>
      </c>
      <c r="H252">
        <v>16.75</v>
      </c>
      <c r="I252" t="s">
        <v>14</v>
      </c>
      <c r="J252" t="s">
        <v>21</v>
      </c>
      <c r="K252" t="s">
        <v>140</v>
      </c>
      <c r="L252" t="s">
        <v>141</v>
      </c>
    </row>
    <row r="253" spans="1:12" x14ac:dyDescent="0.2">
      <c r="A253">
        <v>252</v>
      </c>
      <c r="B253" t="s">
        <v>170</v>
      </c>
      <c r="C253" t="s">
        <v>399</v>
      </c>
      <c r="D253" s="2">
        <v>1</v>
      </c>
      <c r="E253" s="1">
        <v>42202</v>
      </c>
      <c r="F253" s="3">
        <v>0.68462962962962959</v>
      </c>
      <c r="G253">
        <v>12</v>
      </c>
      <c r="H253">
        <v>12</v>
      </c>
      <c r="I253" t="s">
        <v>45</v>
      </c>
      <c r="J253" t="s">
        <v>15</v>
      </c>
      <c r="K253" t="s">
        <v>172</v>
      </c>
      <c r="L253" t="s">
        <v>173</v>
      </c>
    </row>
    <row r="254" spans="1:12" x14ac:dyDescent="0.2">
      <c r="A254">
        <v>253</v>
      </c>
      <c r="B254" t="s">
        <v>86</v>
      </c>
      <c r="C254" t="s">
        <v>400</v>
      </c>
      <c r="D254" s="2">
        <v>1</v>
      </c>
      <c r="E254" s="1">
        <v>42203</v>
      </c>
      <c r="F254" s="3">
        <v>0.51315972222222217</v>
      </c>
      <c r="G254">
        <v>16.5</v>
      </c>
      <c r="H254">
        <v>16.5</v>
      </c>
      <c r="I254" t="s">
        <v>14</v>
      </c>
      <c r="J254" t="s">
        <v>31</v>
      </c>
      <c r="K254" t="s">
        <v>88</v>
      </c>
      <c r="L254" t="s">
        <v>89</v>
      </c>
    </row>
    <row r="255" spans="1:12" x14ac:dyDescent="0.2">
      <c r="A255">
        <v>254</v>
      </c>
      <c r="B255" t="s">
        <v>218</v>
      </c>
      <c r="C255" t="s">
        <v>232</v>
      </c>
      <c r="D255" s="2">
        <v>1</v>
      </c>
      <c r="E255" s="1">
        <v>42203</v>
      </c>
      <c r="F255" s="3">
        <v>0.62614583333333329</v>
      </c>
      <c r="G255">
        <v>16.75</v>
      </c>
      <c r="H255">
        <v>16.75</v>
      </c>
      <c r="I255" t="s">
        <v>14</v>
      </c>
      <c r="J255" t="s">
        <v>21</v>
      </c>
      <c r="K255" t="s">
        <v>140</v>
      </c>
      <c r="L255" t="s">
        <v>141</v>
      </c>
    </row>
    <row r="256" spans="1:12" x14ac:dyDescent="0.2">
      <c r="A256">
        <v>255</v>
      </c>
      <c r="B256" t="s">
        <v>70</v>
      </c>
      <c r="C256" t="s">
        <v>401</v>
      </c>
      <c r="D256" s="2">
        <v>2</v>
      </c>
      <c r="E256" s="1">
        <v>42204</v>
      </c>
      <c r="F256" s="3">
        <v>0.58024305555555555</v>
      </c>
      <c r="G256">
        <v>16.75</v>
      </c>
      <c r="H256">
        <v>33.5</v>
      </c>
      <c r="I256" t="s">
        <v>14</v>
      </c>
      <c r="J256" t="s">
        <v>26</v>
      </c>
      <c r="K256" t="s">
        <v>72</v>
      </c>
      <c r="L256" t="s">
        <v>73</v>
      </c>
    </row>
    <row r="257" spans="1:12" x14ac:dyDescent="0.2">
      <c r="A257">
        <v>256</v>
      </c>
      <c r="B257" t="s">
        <v>195</v>
      </c>
      <c r="C257" t="s">
        <v>402</v>
      </c>
      <c r="D257" s="2">
        <v>1</v>
      </c>
      <c r="E257" s="1">
        <v>42204</v>
      </c>
      <c r="F257" s="3">
        <v>0.66468749999999999</v>
      </c>
      <c r="G257">
        <v>12</v>
      </c>
      <c r="H257">
        <v>12</v>
      </c>
      <c r="I257" t="s">
        <v>45</v>
      </c>
      <c r="J257" t="s">
        <v>26</v>
      </c>
      <c r="K257" t="s">
        <v>197</v>
      </c>
      <c r="L257" t="s">
        <v>198</v>
      </c>
    </row>
    <row r="258" spans="1:12" x14ac:dyDescent="0.2">
      <c r="A258">
        <v>257</v>
      </c>
      <c r="B258" t="s">
        <v>34</v>
      </c>
      <c r="C258" t="s">
        <v>403</v>
      </c>
      <c r="D258" s="2">
        <v>1</v>
      </c>
      <c r="E258" s="1">
        <v>42204</v>
      </c>
      <c r="F258" s="3">
        <v>0.77945601851851853</v>
      </c>
      <c r="G258">
        <v>25.5</v>
      </c>
      <c r="H258">
        <v>25.5</v>
      </c>
      <c r="I258" t="s">
        <v>36</v>
      </c>
      <c r="J258" t="s">
        <v>15</v>
      </c>
      <c r="K258" t="s">
        <v>37</v>
      </c>
      <c r="L258" t="s">
        <v>38</v>
      </c>
    </row>
    <row r="259" spans="1:12" x14ac:dyDescent="0.2">
      <c r="A259">
        <v>258</v>
      </c>
      <c r="B259" t="s">
        <v>124</v>
      </c>
      <c r="C259" t="s">
        <v>404</v>
      </c>
      <c r="D259" s="2">
        <v>1</v>
      </c>
      <c r="E259" s="1">
        <v>42205</v>
      </c>
      <c r="F259" s="3">
        <v>0.49306712962962962</v>
      </c>
      <c r="G259">
        <v>12.5</v>
      </c>
      <c r="H259">
        <v>12.5</v>
      </c>
      <c r="I259" t="s">
        <v>45</v>
      </c>
      <c r="J259" t="s">
        <v>31</v>
      </c>
      <c r="K259" t="s">
        <v>88</v>
      </c>
      <c r="L259" t="s">
        <v>89</v>
      </c>
    </row>
    <row r="260" spans="1:12" x14ac:dyDescent="0.2">
      <c r="A260">
        <v>259</v>
      </c>
      <c r="B260" t="s">
        <v>405</v>
      </c>
      <c r="C260" t="s">
        <v>406</v>
      </c>
      <c r="D260" s="2">
        <v>1</v>
      </c>
      <c r="E260" s="1">
        <v>42205</v>
      </c>
      <c r="F260" s="3">
        <v>0.54666666666666663</v>
      </c>
      <c r="G260">
        <v>20.5</v>
      </c>
      <c r="H260">
        <v>20.5</v>
      </c>
      <c r="I260" t="s">
        <v>20</v>
      </c>
      <c r="J260" t="s">
        <v>15</v>
      </c>
      <c r="K260" t="s">
        <v>16</v>
      </c>
      <c r="L260" t="s">
        <v>17</v>
      </c>
    </row>
    <row r="261" spans="1:12" x14ac:dyDescent="0.2">
      <c r="A261">
        <v>260</v>
      </c>
      <c r="B261" t="s">
        <v>407</v>
      </c>
      <c r="C261" t="s">
        <v>408</v>
      </c>
      <c r="D261" s="2">
        <v>1</v>
      </c>
      <c r="E261" s="1">
        <v>42205</v>
      </c>
      <c r="F261" s="3">
        <v>0.6847685185185185</v>
      </c>
      <c r="G261">
        <v>14.75</v>
      </c>
      <c r="H261">
        <v>14.75</v>
      </c>
      <c r="I261" t="s">
        <v>14</v>
      </c>
      <c r="J261" t="s">
        <v>26</v>
      </c>
      <c r="K261" t="s">
        <v>60</v>
      </c>
      <c r="L261" t="s">
        <v>61</v>
      </c>
    </row>
    <row r="262" spans="1:12" x14ac:dyDescent="0.2">
      <c r="A262">
        <v>261</v>
      </c>
      <c r="B262" t="s">
        <v>164</v>
      </c>
      <c r="C262" t="s">
        <v>409</v>
      </c>
      <c r="D262" s="2">
        <v>1</v>
      </c>
      <c r="E262" s="1">
        <v>42205</v>
      </c>
      <c r="F262" s="3">
        <v>0.80984953703703699</v>
      </c>
      <c r="G262">
        <v>12.5</v>
      </c>
      <c r="H262">
        <v>12.5</v>
      </c>
      <c r="I262" t="s">
        <v>45</v>
      </c>
      <c r="J262" t="s">
        <v>26</v>
      </c>
      <c r="K262" t="s">
        <v>166</v>
      </c>
      <c r="L262" t="s">
        <v>167</v>
      </c>
    </row>
    <row r="263" spans="1:12" x14ac:dyDescent="0.2">
      <c r="A263">
        <v>262</v>
      </c>
      <c r="B263" t="s">
        <v>178</v>
      </c>
      <c r="C263" t="s">
        <v>410</v>
      </c>
      <c r="D263" s="2">
        <v>1</v>
      </c>
      <c r="E263" s="1">
        <v>42205</v>
      </c>
      <c r="F263" s="3">
        <v>0.83364583333333331</v>
      </c>
      <c r="G263">
        <v>20.5</v>
      </c>
      <c r="H263">
        <v>20.5</v>
      </c>
      <c r="I263" t="s">
        <v>20</v>
      </c>
      <c r="J263" t="s">
        <v>15</v>
      </c>
      <c r="K263" t="s">
        <v>180</v>
      </c>
      <c r="L263" t="s">
        <v>181</v>
      </c>
    </row>
    <row r="264" spans="1:12" x14ac:dyDescent="0.2">
      <c r="A264">
        <v>263</v>
      </c>
      <c r="B264" t="s">
        <v>411</v>
      </c>
      <c r="C264" t="s">
        <v>412</v>
      </c>
      <c r="D264" s="2">
        <v>1</v>
      </c>
      <c r="E264" s="1">
        <v>42206</v>
      </c>
      <c r="F264" s="3">
        <v>0.70413194444444449</v>
      </c>
      <c r="G264">
        <v>11</v>
      </c>
      <c r="H264">
        <v>11</v>
      </c>
      <c r="I264" t="s">
        <v>45</v>
      </c>
      <c r="J264" t="s">
        <v>15</v>
      </c>
      <c r="K264" t="s">
        <v>368</v>
      </c>
      <c r="L264" t="s">
        <v>369</v>
      </c>
    </row>
    <row r="265" spans="1:12" x14ac:dyDescent="0.2">
      <c r="A265">
        <v>264</v>
      </c>
      <c r="B265" t="s">
        <v>66</v>
      </c>
      <c r="C265" t="s">
        <v>413</v>
      </c>
      <c r="D265" s="2">
        <v>1</v>
      </c>
      <c r="E265" s="1">
        <v>42207</v>
      </c>
      <c r="F265" s="3">
        <v>0.49809027777777776</v>
      </c>
      <c r="G265">
        <v>20.75</v>
      </c>
      <c r="H265">
        <v>20.75</v>
      </c>
      <c r="I265" t="s">
        <v>20</v>
      </c>
      <c r="J265" t="s">
        <v>31</v>
      </c>
      <c r="K265" t="s">
        <v>68</v>
      </c>
      <c r="L265" t="s">
        <v>69</v>
      </c>
    </row>
    <row r="266" spans="1:12" x14ac:dyDescent="0.2">
      <c r="A266">
        <v>265</v>
      </c>
      <c r="B266" t="s">
        <v>58</v>
      </c>
      <c r="C266" t="s">
        <v>414</v>
      </c>
      <c r="D266" s="2">
        <v>1</v>
      </c>
      <c r="E266" s="1">
        <v>42207</v>
      </c>
      <c r="F266" s="3">
        <v>0.8145486111111111</v>
      </c>
      <c r="G266">
        <v>17.95</v>
      </c>
      <c r="H266">
        <v>17.95</v>
      </c>
      <c r="I266" t="s">
        <v>20</v>
      </c>
      <c r="J266" t="s">
        <v>26</v>
      </c>
      <c r="K266" t="s">
        <v>60</v>
      </c>
      <c r="L266" t="s">
        <v>61</v>
      </c>
    </row>
    <row r="267" spans="1:12" x14ac:dyDescent="0.2">
      <c r="A267">
        <v>266</v>
      </c>
      <c r="B267" t="s">
        <v>201</v>
      </c>
      <c r="C267" t="s">
        <v>415</v>
      </c>
      <c r="D267" s="2">
        <v>1</v>
      </c>
      <c r="E267" s="1">
        <v>42207</v>
      </c>
      <c r="F267" s="3">
        <v>0.88289351851851849</v>
      </c>
      <c r="G267">
        <v>16.5</v>
      </c>
      <c r="H267">
        <v>16.5</v>
      </c>
      <c r="I267" t="s">
        <v>14</v>
      </c>
      <c r="J267" t="s">
        <v>31</v>
      </c>
      <c r="K267" t="s">
        <v>50</v>
      </c>
      <c r="L267" t="s">
        <v>51</v>
      </c>
    </row>
    <row r="268" spans="1:12" x14ac:dyDescent="0.2">
      <c r="A268">
        <v>267</v>
      </c>
      <c r="B268" t="s">
        <v>126</v>
      </c>
      <c r="C268" t="s">
        <v>416</v>
      </c>
      <c r="D268" s="2">
        <v>1</v>
      </c>
      <c r="E268" s="1">
        <v>42208</v>
      </c>
      <c r="F268" s="3">
        <v>0.56607638888888889</v>
      </c>
      <c r="G268">
        <v>10.5</v>
      </c>
      <c r="H268">
        <v>10.5</v>
      </c>
      <c r="I268" t="s">
        <v>45</v>
      </c>
      <c r="J268" t="s">
        <v>15</v>
      </c>
      <c r="K268" t="s">
        <v>107</v>
      </c>
      <c r="L268" t="s">
        <v>108</v>
      </c>
    </row>
    <row r="269" spans="1:12" x14ac:dyDescent="0.2">
      <c r="A269">
        <v>268</v>
      </c>
      <c r="B269" t="s">
        <v>153</v>
      </c>
      <c r="C269" t="s">
        <v>417</v>
      </c>
      <c r="D269" s="2">
        <v>1</v>
      </c>
      <c r="E269" s="1">
        <v>42208</v>
      </c>
      <c r="F269" s="3">
        <v>0.88909722222222221</v>
      </c>
      <c r="G269">
        <v>16.25</v>
      </c>
      <c r="H269">
        <v>16.25</v>
      </c>
      <c r="I269" t="s">
        <v>14</v>
      </c>
      <c r="J269" t="s">
        <v>31</v>
      </c>
      <c r="K269" t="s">
        <v>76</v>
      </c>
      <c r="L269" t="s">
        <v>77</v>
      </c>
    </row>
    <row r="270" spans="1:12" x14ac:dyDescent="0.2">
      <c r="A270">
        <v>269</v>
      </c>
      <c r="B270" t="s">
        <v>115</v>
      </c>
      <c r="C270" t="s">
        <v>418</v>
      </c>
      <c r="D270" s="2">
        <v>1</v>
      </c>
      <c r="E270" s="1">
        <v>42209</v>
      </c>
      <c r="F270" s="3">
        <v>0.53697916666666667</v>
      </c>
      <c r="G270">
        <v>12.5</v>
      </c>
      <c r="H270">
        <v>12.5</v>
      </c>
      <c r="I270" t="s">
        <v>45</v>
      </c>
      <c r="J270" t="s">
        <v>31</v>
      </c>
      <c r="K270" t="s">
        <v>68</v>
      </c>
      <c r="L270" t="s">
        <v>69</v>
      </c>
    </row>
    <row r="271" spans="1:12" x14ac:dyDescent="0.2">
      <c r="A271">
        <v>270</v>
      </c>
      <c r="B271" t="s">
        <v>195</v>
      </c>
      <c r="C271" t="s">
        <v>49</v>
      </c>
      <c r="D271" s="2">
        <v>1</v>
      </c>
      <c r="E271" s="1">
        <v>42210</v>
      </c>
      <c r="F271" s="3">
        <v>0.50248842592592591</v>
      </c>
      <c r="G271">
        <v>12</v>
      </c>
      <c r="H271">
        <v>12</v>
      </c>
      <c r="I271" t="s">
        <v>45</v>
      </c>
      <c r="J271" t="s">
        <v>26</v>
      </c>
      <c r="K271" t="s">
        <v>197</v>
      </c>
      <c r="L271" t="s">
        <v>198</v>
      </c>
    </row>
    <row r="272" spans="1:12" x14ac:dyDescent="0.2">
      <c r="A272">
        <v>271</v>
      </c>
      <c r="B272" t="s">
        <v>126</v>
      </c>
      <c r="C272" t="s">
        <v>419</v>
      </c>
      <c r="D272" s="2">
        <v>1</v>
      </c>
      <c r="E272" s="1">
        <v>42210</v>
      </c>
      <c r="F272" s="3">
        <v>0.83835648148148145</v>
      </c>
      <c r="G272">
        <v>10.5</v>
      </c>
      <c r="H272">
        <v>10.5</v>
      </c>
      <c r="I272" t="s">
        <v>45</v>
      </c>
      <c r="J272" t="s">
        <v>15</v>
      </c>
      <c r="K272" t="s">
        <v>107</v>
      </c>
      <c r="L272" t="s">
        <v>108</v>
      </c>
    </row>
    <row r="273" spans="1:12" x14ac:dyDescent="0.2">
      <c r="A273">
        <v>272</v>
      </c>
      <c r="B273" t="s">
        <v>158</v>
      </c>
      <c r="C273" t="s">
        <v>420</v>
      </c>
      <c r="D273" s="2">
        <v>1</v>
      </c>
      <c r="E273" s="1">
        <v>42211</v>
      </c>
      <c r="F273" s="3">
        <v>0.51031249999999995</v>
      </c>
      <c r="G273">
        <v>20.75</v>
      </c>
      <c r="H273">
        <v>20.75</v>
      </c>
      <c r="I273" t="s">
        <v>20</v>
      </c>
      <c r="J273" t="s">
        <v>31</v>
      </c>
      <c r="K273" t="s">
        <v>46</v>
      </c>
      <c r="L273" t="s">
        <v>47</v>
      </c>
    </row>
    <row r="274" spans="1:12" x14ac:dyDescent="0.2">
      <c r="A274">
        <v>273</v>
      </c>
      <c r="B274" t="s">
        <v>101</v>
      </c>
      <c r="C274" t="s">
        <v>421</v>
      </c>
      <c r="D274" s="2">
        <v>1</v>
      </c>
      <c r="E274" s="1">
        <v>42212</v>
      </c>
      <c r="F274" s="3">
        <v>0.71793981481481484</v>
      </c>
      <c r="G274">
        <v>20.75</v>
      </c>
      <c r="H274">
        <v>20.75</v>
      </c>
      <c r="I274" t="s">
        <v>20</v>
      </c>
      <c r="J274" t="s">
        <v>21</v>
      </c>
      <c r="K274" t="s">
        <v>103</v>
      </c>
      <c r="L274" t="s">
        <v>104</v>
      </c>
    </row>
    <row r="275" spans="1:12" x14ac:dyDescent="0.2">
      <c r="A275">
        <v>274</v>
      </c>
      <c r="B275" t="s">
        <v>111</v>
      </c>
      <c r="C275" t="s">
        <v>422</v>
      </c>
      <c r="D275" s="2">
        <v>1</v>
      </c>
      <c r="E275" s="1">
        <v>42214</v>
      </c>
      <c r="F275" s="3">
        <v>0.68217592592592591</v>
      </c>
      <c r="G275">
        <v>20.75</v>
      </c>
      <c r="H275">
        <v>20.75</v>
      </c>
      <c r="I275" t="s">
        <v>20</v>
      </c>
      <c r="J275" t="s">
        <v>21</v>
      </c>
      <c r="K275" t="s">
        <v>81</v>
      </c>
      <c r="L275" t="s">
        <v>82</v>
      </c>
    </row>
    <row r="276" spans="1:12" x14ac:dyDescent="0.2">
      <c r="A276">
        <v>275</v>
      </c>
      <c r="B276" t="s">
        <v>170</v>
      </c>
      <c r="C276" t="s">
        <v>423</v>
      </c>
      <c r="D276" s="2">
        <v>1</v>
      </c>
      <c r="E276" s="1">
        <v>42215</v>
      </c>
      <c r="F276" s="3">
        <v>0.79060185185185183</v>
      </c>
      <c r="G276">
        <v>12</v>
      </c>
      <c r="H276">
        <v>12</v>
      </c>
      <c r="I276" t="s">
        <v>45</v>
      </c>
      <c r="J276" t="s">
        <v>15</v>
      </c>
      <c r="K276" t="s">
        <v>172</v>
      </c>
      <c r="L276" t="s">
        <v>173</v>
      </c>
    </row>
    <row r="277" spans="1:12" x14ac:dyDescent="0.2">
      <c r="A277">
        <v>276</v>
      </c>
      <c r="B277" t="s">
        <v>48</v>
      </c>
      <c r="C277" t="s">
        <v>424</v>
      </c>
      <c r="D277" s="2">
        <v>1</v>
      </c>
      <c r="E277" s="1">
        <v>42216</v>
      </c>
      <c r="F277" s="3">
        <v>0.5264699074074074</v>
      </c>
      <c r="G277">
        <v>20.75</v>
      </c>
      <c r="H277">
        <v>20.75</v>
      </c>
      <c r="I277" t="s">
        <v>20</v>
      </c>
      <c r="J277" t="s">
        <v>31</v>
      </c>
      <c r="K277" t="s">
        <v>50</v>
      </c>
      <c r="L277" t="s">
        <v>51</v>
      </c>
    </row>
    <row r="278" spans="1:12" x14ac:dyDescent="0.2">
      <c r="A278">
        <v>277</v>
      </c>
      <c r="B278" t="s">
        <v>195</v>
      </c>
      <c r="C278" t="s">
        <v>258</v>
      </c>
      <c r="D278" s="2">
        <v>1</v>
      </c>
      <c r="E278" s="1">
        <v>42216</v>
      </c>
      <c r="F278" s="3">
        <v>0.79651620370370368</v>
      </c>
      <c r="G278">
        <v>12</v>
      </c>
      <c r="H278">
        <v>12</v>
      </c>
      <c r="I278" t="s">
        <v>45</v>
      </c>
      <c r="J278" t="s">
        <v>26</v>
      </c>
      <c r="K278" t="s">
        <v>197</v>
      </c>
      <c r="L278" t="s">
        <v>198</v>
      </c>
    </row>
    <row r="279" spans="1:12" x14ac:dyDescent="0.2">
      <c r="A279">
        <v>278</v>
      </c>
      <c r="B279" t="s">
        <v>18</v>
      </c>
      <c r="C279" t="s">
        <v>425</v>
      </c>
      <c r="D279" s="2">
        <v>1</v>
      </c>
      <c r="E279" s="1">
        <v>42218</v>
      </c>
      <c r="F279" s="3">
        <v>0.5740277777777778</v>
      </c>
      <c r="G279">
        <v>20.75</v>
      </c>
      <c r="H279">
        <v>20.75</v>
      </c>
      <c r="I279" t="s">
        <v>20</v>
      </c>
      <c r="J279" t="s">
        <v>21</v>
      </c>
      <c r="K279" t="s">
        <v>22</v>
      </c>
      <c r="L279" t="s">
        <v>23</v>
      </c>
    </row>
    <row r="280" spans="1:12" x14ac:dyDescent="0.2">
      <c r="A280">
        <v>279</v>
      </c>
      <c r="B280" t="s">
        <v>426</v>
      </c>
      <c r="C280" t="s">
        <v>427</v>
      </c>
      <c r="D280" s="2">
        <v>1</v>
      </c>
      <c r="E280" s="1">
        <v>42218</v>
      </c>
      <c r="F280" s="3">
        <v>0.86274305555555553</v>
      </c>
      <c r="G280">
        <v>20.5</v>
      </c>
      <c r="H280">
        <v>20.5</v>
      </c>
      <c r="I280" t="s">
        <v>20</v>
      </c>
      <c r="J280" t="s">
        <v>15</v>
      </c>
      <c r="K280" t="s">
        <v>184</v>
      </c>
      <c r="L280" t="s">
        <v>185</v>
      </c>
    </row>
    <row r="281" spans="1:12" x14ac:dyDescent="0.2">
      <c r="A281">
        <v>280</v>
      </c>
      <c r="B281" t="s">
        <v>170</v>
      </c>
      <c r="C281" t="s">
        <v>428</v>
      </c>
      <c r="D281" s="2">
        <v>1</v>
      </c>
      <c r="E281" s="1">
        <v>42219</v>
      </c>
      <c r="F281" s="3">
        <v>0.79484953703703709</v>
      </c>
      <c r="G281">
        <v>12</v>
      </c>
      <c r="H281">
        <v>12</v>
      </c>
      <c r="I281" t="s">
        <v>45</v>
      </c>
      <c r="J281" t="s">
        <v>15</v>
      </c>
      <c r="K281" t="s">
        <v>172</v>
      </c>
      <c r="L281" t="s">
        <v>173</v>
      </c>
    </row>
    <row r="282" spans="1:12" x14ac:dyDescent="0.2">
      <c r="A282">
        <v>281</v>
      </c>
      <c r="B282" t="s">
        <v>248</v>
      </c>
      <c r="C282" t="s">
        <v>429</v>
      </c>
      <c r="D282" s="2">
        <v>1</v>
      </c>
      <c r="E282" s="1">
        <v>42221</v>
      </c>
      <c r="F282" s="3">
        <v>0.48842592592592593</v>
      </c>
      <c r="G282">
        <v>16.75</v>
      </c>
      <c r="H282">
        <v>16.75</v>
      </c>
      <c r="I282" t="s">
        <v>14</v>
      </c>
      <c r="J282" t="s">
        <v>21</v>
      </c>
      <c r="K282" t="s">
        <v>81</v>
      </c>
      <c r="L282" t="s">
        <v>82</v>
      </c>
    </row>
    <row r="283" spans="1:12" x14ac:dyDescent="0.2">
      <c r="A283">
        <v>282</v>
      </c>
      <c r="B283" t="s">
        <v>135</v>
      </c>
      <c r="C283" t="s">
        <v>430</v>
      </c>
      <c r="D283" s="2">
        <v>1</v>
      </c>
      <c r="E283" s="1">
        <v>42221</v>
      </c>
      <c r="F283" s="3">
        <v>0.77638888888888891</v>
      </c>
      <c r="G283">
        <v>20.5</v>
      </c>
      <c r="H283">
        <v>20.5</v>
      </c>
      <c r="I283" t="s">
        <v>20</v>
      </c>
      <c r="J283" t="s">
        <v>15</v>
      </c>
      <c r="K283" t="s">
        <v>37</v>
      </c>
      <c r="L283" t="s">
        <v>38</v>
      </c>
    </row>
    <row r="284" spans="1:12" x14ac:dyDescent="0.2">
      <c r="A284">
        <v>283</v>
      </c>
      <c r="B284" t="s">
        <v>74</v>
      </c>
      <c r="C284" t="s">
        <v>431</v>
      </c>
      <c r="D284" s="2">
        <v>1</v>
      </c>
      <c r="E284" s="1">
        <v>42222</v>
      </c>
      <c r="F284" s="3">
        <v>0.50082175925925931</v>
      </c>
      <c r="G284">
        <v>12.25</v>
      </c>
      <c r="H284">
        <v>12.25</v>
      </c>
      <c r="I284" t="s">
        <v>45</v>
      </c>
      <c r="J284" t="s">
        <v>31</v>
      </c>
      <c r="K284" t="s">
        <v>76</v>
      </c>
      <c r="L284" t="s">
        <v>77</v>
      </c>
    </row>
    <row r="285" spans="1:12" x14ac:dyDescent="0.2">
      <c r="A285">
        <v>284</v>
      </c>
      <c r="B285" t="s">
        <v>215</v>
      </c>
      <c r="C285" t="s">
        <v>432</v>
      </c>
      <c r="D285" s="2">
        <v>1</v>
      </c>
      <c r="E285" s="1">
        <v>42222</v>
      </c>
      <c r="F285" s="3">
        <v>0.59255787037037033</v>
      </c>
      <c r="G285">
        <v>12</v>
      </c>
      <c r="H285">
        <v>12</v>
      </c>
      <c r="I285" t="s">
        <v>45</v>
      </c>
      <c r="J285" t="s">
        <v>26</v>
      </c>
      <c r="K285" t="s">
        <v>122</v>
      </c>
      <c r="L285" t="s">
        <v>123</v>
      </c>
    </row>
    <row r="286" spans="1:12" x14ac:dyDescent="0.2">
      <c r="A286">
        <v>285</v>
      </c>
      <c r="B286" t="s">
        <v>298</v>
      </c>
      <c r="C286" t="s">
        <v>433</v>
      </c>
      <c r="D286" s="2">
        <v>1</v>
      </c>
      <c r="E286" s="1">
        <v>42222</v>
      </c>
      <c r="F286" s="3">
        <v>0.7318634259259259</v>
      </c>
      <c r="G286">
        <v>16</v>
      </c>
      <c r="H286">
        <v>16</v>
      </c>
      <c r="I286" t="s">
        <v>14</v>
      </c>
      <c r="J286" t="s">
        <v>26</v>
      </c>
      <c r="K286" t="s">
        <v>98</v>
      </c>
      <c r="L286" t="s">
        <v>99</v>
      </c>
    </row>
    <row r="287" spans="1:12" x14ac:dyDescent="0.2">
      <c r="A287">
        <v>286</v>
      </c>
      <c r="B287" t="s">
        <v>24</v>
      </c>
      <c r="C287" t="s">
        <v>434</v>
      </c>
      <c r="D287" s="2">
        <v>1</v>
      </c>
      <c r="E287" s="1">
        <v>42223</v>
      </c>
      <c r="F287" s="3">
        <v>0.82601851851851849</v>
      </c>
      <c r="G287">
        <v>18.5</v>
      </c>
      <c r="H287">
        <v>18.5</v>
      </c>
      <c r="I287" t="s">
        <v>20</v>
      </c>
      <c r="J287" t="s">
        <v>26</v>
      </c>
      <c r="K287" t="s">
        <v>27</v>
      </c>
      <c r="L287" t="s">
        <v>28</v>
      </c>
    </row>
    <row r="288" spans="1:12" x14ac:dyDescent="0.2">
      <c r="A288">
        <v>287</v>
      </c>
      <c r="B288" t="s">
        <v>117</v>
      </c>
      <c r="C288" t="s">
        <v>435</v>
      </c>
      <c r="D288" s="2">
        <v>1</v>
      </c>
      <c r="E288" s="1">
        <v>42223</v>
      </c>
      <c r="F288" s="3">
        <v>0.87600694444444449</v>
      </c>
      <c r="G288">
        <v>16</v>
      </c>
      <c r="H288">
        <v>16</v>
      </c>
      <c r="I288" t="s">
        <v>14</v>
      </c>
      <c r="J288" t="s">
        <v>26</v>
      </c>
      <c r="K288" t="s">
        <v>56</v>
      </c>
      <c r="L288" t="s">
        <v>57</v>
      </c>
    </row>
    <row r="289" spans="1:12" x14ac:dyDescent="0.2">
      <c r="A289">
        <v>288</v>
      </c>
      <c r="B289" t="s">
        <v>238</v>
      </c>
      <c r="C289" t="s">
        <v>436</v>
      </c>
      <c r="D289" s="2">
        <v>1</v>
      </c>
      <c r="E289" s="1">
        <v>42224</v>
      </c>
      <c r="F289" s="3">
        <v>0.68082175925925925</v>
      </c>
      <c r="G289">
        <v>20.25</v>
      </c>
      <c r="H289">
        <v>20.25</v>
      </c>
      <c r="I289" t="s">
        <v>20</v>
      </c>
      <c r="J289" t="s">
        <v>26</v>
      </c>
      <c r="K289" t="s">
        <v>56</v>
      </c>
      <c r="L289" t="s">
        <v>57</v>
      </c>
    </row>
    <row r="290" spans="1:12" x14ac:dyDescent="0.2">
      <c r="A290">
        <v>289</v>
      </c>
      <c r="B290" t="s">
        <v>264</v>
      </c>
      <c r="C290" t="s">
        <v>437</v>
      </c>
      <c r="D290" s="2">
        <v>1</v>
      </c>
      <c r="E290" s="1">
        <v>42224</v>
      </c>
      <c r="F290" s="3">
        <v>0.84280092592592593</v>
      </c>
      <c r="G290">
        <v>12</v>
      </c>
      <c r="H290">
        <v>12</v>
      </c>
      <c r="I290" t="s">
        <v>45</v>
      </c>
      <c r="J290" t="s">
        <v>26</v>
      </c>
      <c r="K290" t="s">
        <v>266</v>
      </c>
      <c r="L290" t="s">
        <v>267</v>
      </c>
    </row>
    <row r="291" spans="1:12" x14ac:dyDescent="0.2">
      <c r="A291">
        <v>290</v>
      </c>
      <c r="B291" t="s">
        <v>201</v>
      </c>
      <c r="C291" t="s">
        <v>438</v>
      </c>
      <c r="D291" s="2">
        <v>1</v>
      </c>
      <c r="E291" s="1">
        <v>42224</v>
      </c>
      <c r="F291" s="3">
        <v>0.93746527777777777</v>
      </c>
      <c r="G291">
        <v>16.5</v>
      </c>
      <c r="H291">
        <v>16.5</v>
      </c>
      <c r="I291" t="s">
        <v>14</v>
      </c>
      <c r="J291" t="s">
        <v>31</v>
      </c>
      <c r="K291" t="s">
        <v>50</v>
      </c>
      <c r="L291" t="s">
        <v>51</v>
      </c>
    </row>
    <row r="292" spans="1:12" x14ac:dyDescent="0.2">
      <c r="A292">
        <v>291</v>
      </c>
      <c r="B292" t="s">
        <v>439</v>
      </c>
      <c r="C292" t="s">
        <v>440</v>
      </c>
      <c r="D292" s="2">
        <v>1</v>
      </c>
      <c r="E292" s="1">
        <v>42225</v>
      </c>
      <c r="F292" s="3">
        <v>0.59180555555555558</v>
      </c>
      <c r="G292">
        <v>12</v>
      </c>
      <c r="H292">
        <v>12</v>
      </c>
      <c r="I292" t="s">
        <v>45</v>
      </c>
      <c r="J292" t="s">
        <v>15</v>
      </c>
      <c r="K292" t="s">
        <v>180</v>
      </c>
      <c r="L292" t="s">
        <v>181</v>
      </c>
    </row>
    <row r="293" spans="1:12" x14ac:dyDescent="0.2">
      <c r="A293">
        <v>292</v>
      </c>
      <c r="B293" t="s">
        <v>234</v>
      </c>
      <c r="C293" t="s">
        <v>441</v>
      </c>
      <c r="D293" s="2">
        <v>1</v>
      </c>
      <c r="E293" s="1">
        <v>42225</v>
      </c>
      <c r="F293" s="3">
        <v>0.77194444444444443</v>
      </c>
      <c r="G293">
        <v>16</v>
      </c>
      <c r="H293">
        <v>16</v>
      </c>
      <c r="I293" t="s">
        <v>14</v>
      </c>
      <c r="J293" t="s">
        <v>26</v>
      </c>
      <c r="K293" t="s">
        <v>197</v>
      </c>
      <c r="L293" t="s">
        <v>198</v>
      </c>
    </row>
    <row r="294" spans="1:12" x14ac:dyDescent="0.2">
      <c r="A294">
        <v>293</v>
      </c>
      <c r="B294" t="s">
        <v>191</v>
      </c>
      <c r="C294" t="s">
        <v>442</v>
      </c>
      <c r="D294" s="2">
        <v>1</v>
      </c>
      <c r="E294" s="1">
        <v>42226</v>
      </c>
      <c r="F294" s="3">
        <v>0.52567129629629628</v>
      </c>
      <c r="G294">
        <v>20.75</v>
      </c>
      <c r="H294">
        <v>20.75</v>
      </c>
      <c r="I294" t="s">
        <v>20</v>
      </c>
      <c r="J294" t="s">
        <v>26</v>
      </c>
      <c r="K294" t="s">
        <v>166</v>
      </c>
      <c r="L294" t="s">
        <v>167</v>
      </c>
    </row>
    <row r="295" spans="1:12" x14ac:dyDescent="0.2">
      <c r="A295">
        <v>294</v>
      </c>
      <c r="B295" t="s">
        <v>34</v>
      </c>
      <c r="C295" t="s">
        <v>443</v>
      </c>
      <c r="D295" s="2">
        <v>1</v>
      </c>
      <c r="E295" s="1">
        <v>42226</v>
      </c>
      <c r="F295" s="3">
        <v>0.6746064814814815</v>
      </c>
      <c r="G295">
        <v>25.5</v>
      </c>
      <c r="H295">
        <v>25.5</v>
      </c>
      <c r="I295" t="s">
        <v>36</v>
      </c>
      <c r="J295" t="s">
        <v>15</v>
      </c>
      <c r="K295" t="s">
        <v>37</v>
      </c>
      <c r="L295" t="s">
        <v>38</v>
      </c>
    </row>
    <row r="296" spans="1:12" x14ac:dyDescent="0.2">
      <c r="A296">
        <v>295</v>
      </c>
      <c r="B296" t="s">
        <v>187</v>
      </c>
      <c r="C296" t="s">
        <v>444</v>
      </c>
      <c r="D296" s="2">
        <v>1</v>
      </c>
      <c r="E296" s="1">
        <v>42227</v>
      </c>
      <c r="F296" s="3">
        <v>0.89128472222222221</v>
      </c>
      <c r="G296">
        <v>13.25</v>
      </c>
      <c r="H296">
        <v>13.25</v>
      </c>
      <c r="I296" t="s">
        <v>14</v>
      </c>
      <c r="J296" t="s">
        <v>15</v>
      </c>
      <c r="K296" t="s">
        <v>107</v>
      </c>
      <c r="L296" t="s">
        <v>108</v>
      </c>
    </row>
    <row r="297" spans="1:12" x14ac:dyDescent="0.2">
      <c r="A297">
        <v>296</v>
      </c>
      <c r="B297" t="s">
        <v>18</v>
      </c>
      <c r="C297" t="s">
        <v>445</v>
      </c>
      <c r="D297" s="2">
        <v>1</v>
      </c>
      <c r="E297" s="1">
        <v>42228</v>
      </c>
      <c r="F297" s="3">
        <v>0.89856481481481476</v>
      </c>
      <c r="G297">
        <v>20.75</v>
      </c>
      <c r="H297">
        <v>20.75</v>
      </c>
      <c r="I297" t="s">
        <v>20</v>
      </c>
      <c r="J297" t="s">
        <v>21</v>
      </c>
      <c r="K297" t="s">
        <v>22</v>
      </c>
      <c r="L297" t="s">
        <v>23</v>
      </c>
    </row>
    <row r="298" spans="1:12" x14ac:dyDescent="0.2">
      <c r="A298">
        <v>297</v>
      </c>
      <c r="B298" t="s">
        <v>39</v>
      </c>
      <c r="C298" t="s">
        <v>446</v>
      </c>
      <c r="D298" s="2">
        <v>1</v>
      </c>
      <c r="E298" s="1">
        <v>42229</v>
      </c>
      <c r="F298" s="3">
        <v>0.58884259259259264</v>
      </c>
      <c r="G298">
        <v>15.25</v>
      </c>
      <c r="H298">
        <v>15.25</v>
      </c>
      <c r="I298" t="s">
        <v>20</v>
      </c>
      <c r="J298" t="s">
        <v>15</v>
      </c>
      <c r="K298" t="s">
        <v>41</v>
      </c>
      <c r="L298" t="s">
        <v>42</v>
      </c>
    </row>
    <row r="299" spans="1:12" x14ac:dyDescent="0.2">
      <c r="A299">
        <v>298</v>
      </c>
      <c r="B299" t="s">
        <v>12</v>
      </c>
      <c r="C299" t="s">
        <v>447</v>
      </c>
      <c r="D299" s="2">
        <v>1</v>
      </c>
      <c r="E299" s="1">
        <v>42230</v>
      </c>
      <c r="F299" s="3">
        <v>0.52452546296296299</v>
      </c>
      <c r="G299">
        <v>16</v>
      </c>
      <c r="H299">
        <v>16</v>
      </c>
      <c r="I299" t="s">
        <v>14</v>
      </c>
      <c r="J299" t="s">
        <v>15</v>
      </c>
      <c r="K299" t="s">
        <v>16</v>
      </c>
      <c r="L299" t="s">
        <v>17</v>
      </c>
    </row>
    <row r="300" spans="1:12" x14ac:dyDescent="0.2">
      <c r="A300">
        <v>299</v>
      </c>
      <c r="B300" t="s">
        <v>90</v>
      </c>
      <c r="C300" t="s">
        <v>448</v>
      </c>
      <c r="D300" s="2">
        <v>1</v>
      </c>
      <c r="E300" s="1">
        <v>42230</v>
      </c>
      <c r="F300" s="3">
        <v>0.70129629629629631</v>
      </c>
      <c r="G300">
        <v>12.75</v>
      </c>
      <c r="H300">
        <v>12.75</v>
      </c>
      <c r="I300" t="s">
        <v>45</v>
      </c>
      <c r="J300" t="s">
        <v>21</v>
      </c>
      <c r="K300" t="s">
        <v>92</v>
      </c>
      <c r="L300" t="s">
        <v>93</v>
      </c>
    </row>
    <row r="301" spans="1:12" x14ac:dyDescent="0.2">
      <c r="A301">
        <v>300</v>
      </c>
      <c r="B301" t="s">
        <v>43</v>
      </c>
      <c r="C301" t="s">
        <v>449</v>
      </c>
      <c r="D301" s="2">
        <v>1</v>
      </c>
      <c r="E301" s="1">
        <v>42231</v>
      </c>
      <c r="F301" s="3">
        <v>0.84638888888888886</v>
      </c>
      <c r="G301">
        <v>12.5</v>
      </c>
      <c r="H301">
        <v>12.5</v>
      </c>
      <c r="I301" t="s">
        <v>45</v>
      </c>
      <c r="J301" t="s">
        <v>31</v>
      </c>
      <c r="K301" t="s">
        <v>46</v>
      </c>
      <c r="L301" t="s">
        <v>47</v>
      </c>
    </row>
    <row r="302" spans="1:12" x14ac:dyDescent="0.2">
      <c r="A302">
        <v>301</v>
      </c>
      <c r="B302" t="s">
        <v>298</v>
      </c>
      <c r="C302" t="s">
        <v>450</v>
      </c>
      <c r="D302" s="2">
        <v>1</v>
      </c>
      <c r="E302" s="1">
        <v>42232</v>
      </c>
      <c r="F302" s="3">
        <v>0.69760416666666669</v>
      </c>
      <c r="G302">
        <v>16</v>
      </c>
      <c r="H302">
        <v>16</v>
      </c>
      <c r="I302" t="s">
        <v>14</v>
      </c>
      <c r="J302" t="s">
        <v>26</v>
      </c>
      <c r="K302" t="s">
        <v>98</v>
      </c>
      <c r="L302" t="s">
        <v>99</v>
      </c>
    </row>
    <row r="303" spans="1:12" x14ac:dyDescent="0.2">
      <c r="A303">
        <v>302</v>
      </c>
      <c r="B303" t="s">
        <v>256</v>
      </c>
      <c r="C303" t="s">
        <v>451</v>
      </c>
      <c r="D303" s="2">
        <v>1</v>
      </c>
      <c r="E303" s="1">
        <v>42232</v>
      </c>
      <c r="F303" s="3">
        <v>0.71861111111111109</v>
      </c>
      <c r="G303">
        <v>16.75</v>
      </c>
      <c r="H303">
        <v>16.75</v>
      </c>
      <c r="I303" t="s">
        <v>14</v>
      </c>
      <c r="J303" t="s">
        <v>21</v>
      </c>
      <c r="K303" t="s">
        <v>22</v>
      </c>
      <c r="L303" t="s">
        <v>23</v>
      </c>
    </row>
    <row r="304" spans="1:12" x14ac:dyDescent="0.2">
      <c r="A304">
        <v>303</v>
      </c>
      <c r="B304" t="s">
        <v>74</v>
      </c>
      <c r="C304" t="s">
        <v>452</v>
      </c>
      <c r="D304" s="2">
        <v>1</v>
      </c>
      <c r="E304" s="1">
        <v>42233</v>
      </c>
      <c r="F304" s="3">
        <v>0.61293981481481485</v>
      </c>
      <c r="G304">
        <v>12.25</v>
      </c>
      <c r="H304">
        <v>12.25</v>
      </c>
      <c r="I304" t="s">
        <v>45</v>
      </c>
      <c r="J304" t="s">
        <v>31</v>
      </c>
      <c r="K304" t="s">
        <v>76</v>
      </c>
      <c r="L304" t="s">
        <v>77</v>
      </c>
    </row>
    <row r="305" spans="1:12" x14ac:dyDescent="0.2">
      <c r="A305">
        <v>304</v>
      </c>
      <c r="B305" t="s">
        <v>292</v>
      </c>
      <c r="C305" t="s">
        <v>453</v>
      </c>
      <c r="D305" s="2">
        <v>1</v>
      </c>
      <c r="E305" s="1">
        <v>42233</v>
      </c>
      <c r="F305" s="3">
        <v>0.65770833333333334</v>
      </c>
      <c r="G305">
        <v>12.75</v>
      </c>
      <c r="H305">
        <v>12.75</v>
      </c>
      <c r="I305" t="s">
        <v>45</v>
      </c>
      <c r="J305" t="s">
        <v>21</v>
      </c>
      <c r="K305" t="s">
        <v>22</v>
      </c>
      <c r="L305" t="s">
        <v>23</v>
      </c>
    </row>
    <row r="306" spans="1:12" x14ac:dyDescent="0.2">
      <c r="A306">
        <v>305</v>
      </c>
      <c r="B306" t="s">
        <v>117</v>
      </c>
      <c r="C306" t="s">
        <v>454</v>
      </c>
      <c r="D306" s="2">
        <v>1</v>
      </c>
      <c r="E306" s="1">
        <v>42233</v>
      </c>
      <c r="F306" s="3">
        <v>0.69740740740740736</v>
      </c>
      <c r="G306">
        <v>16</v>
      </c>
      <c r="H306">
        <v>16</v>
      </c>
      <c r="I306" t="s">
        <v>14</v>
      </c>
      <c r="J306" t="s">
        <v>26</v>
      </c>
      <c r="K306" t="s">
        <v>56</v>
      </c>
      <c r="L306" t="s">
        <v>57</v>
      </c>
    </row>
    <row r="307" spans="1:12" x14ac:dyDescent="0.2">
      <c r="A307">
        <v>306</v>
      </c>
      <c r="B307" t="s">
        <v>124</v>
      </c>
      <c r="C307" t="s">
        <v>455</v>
      </c>
      <c r="D307" s="2">
        <v>1</v>
      </c>
      <c r="E307" s="1">
        <v>42233</v>
      </c>
      <c r="F307" s="3">
        <v>0.84600694444444446</v>
      </c>
      <c r="G307">
        <v>12.5</v>
      </c>
      <c r="H307">
        <v>12.5</v>
      </c>
      <c r="I307" t="s">
        <v>45</v>
      </c>
      <c r="J307" t="s">
        <v>31</v>
      </c>
      <c r="K307" t="s">
        <v>88</v>
      </c>
      <c r="L307" t="s">
        <v>89</v>
      </c>
    </row>
    <row r="308" spans="1:12" x14ac:dyDescent="0.2">
      <c r="A308">
        <v>307</v>
      </c>
      <c r="B308" t="s">
        <v>153</v>
      </c>
      <c r="C308" t="s">
        <v>456</v>
      </c>
      <c r="D308" s="2">
        <v>1</v>
      </c>
      <c r="E308" s="1">
        <v>42236</v>
      </c>
      <c r="F308" s="3">
        <v>0.70923611111111107</v>
      </c>
      <c r="G308">
        <v>16.25</v>
      </c>
      <c r="H308">
        <v>16.25</v>
      </c>
      <c r="I308" t="s">
        <v>14</v>
      </c>
      <c r="J308" t="s">
        <v>31</v>
      </c>
      <c r="K308" t="s">
        <v>76</v>
      </c>
      <c r="L308" t="s">
        <v>77</v>
      </c>
    </row>
    <row r="309" spans="1:12" x14ac:dyDescent="0.2">
      <c r="A309">
        <v>308</v>
      </c>
      <c r="B309" t="s">
        <v>175</v>
      </c>
      <c r="C309" t="s">
        <v>457</v>
      </c>
      <c r="D309" s="2">
        <v>1</v>
      </c>
      <c r="E309" s="1">
        <v>42237</v>
      </c>
      <c r="F309" s="3">
        <v>0.51209490740740737</v>
      </c>
      <c r="G309">
        <v>12</v>
      </c>
      <c r="H309">
        <v>12</v>
      </c>
      <c r="I309" t="s">
        <v>45</v>
      </c>
      <c r="J309" t="s">
        <v>15</v>
      </c>
      <c r="K309" t="s">
        <v>16</v>
      </c>
      <c r="L309" t="s">
        <v>17</v>
      </c>
    </row>
    <row r="310" spans="1:12" x14ac:dyDescent="0.2">
      <c r="A310">
        <v>309</v>
      </c>
      <c r="B310" t="s">
        <v>170</v>
      </c>
      <c r="C310" t="s">
        <v>216</v>
      </c>
      <c r="D310" s="2">
        <v>1</v>
      </c>
      <c r="E310" s="1">
        <v>42237</v>
      </c>
      <c r="F310" s="3">
        <v>0.7265625</v>
      </c>
      <c r="G310">
        <v>12</v>
      </c>
      <c r="H310">
        <v>12</v>
      </c>
      <c r="I310" t="s">
        <v>45</v>
      </c>
      <c r="J310" t="s">
        <v>15</v>
      </c>
      <c r="K310" t="s">
        <v>172</v>
      </c>
      <c r="L310" t="s">
        <v>173</v>
      </c>
    </row>
    <row r="311" spans="1:12" x14ac:dyDescent="0.2">
      <c r="A311">
        <v>310</v>
      </c>
      <c r="B311" t="s">
        <v>178</v>
      </c>
      <c r="C311" t="s">
        <v>458</v>
      </c>
      <c r="D311" s="2">
        <v>1</v>
      </c>
      <c r="E311" s="1">
        <v>42237</v>
      </c>
      <c r="F311" s="3">
        <v>0.84789351851851846</v>
      </c>
      <c r="G311">
        <v>20.5</v>
      </c>
      <c r="H311">
        <v>20.5</v>
      </c>
      <c r="I311" t="s">
        <v>20</v>
      </c>
      <c r="J311" t="s">
        <v>15</v>
      </c>
      <c r="K311" t="s">
        <v>180</v>
      </c>
      <c r="L311" t="s">
        <v>181</v>
      </c>
    </row>
    <row r="312" spans="1:12" x14ac:dyDescent="0.2">
      <c r="A312">
        <v>311</v>
      </c>
      <c r="B312" t="s">
        <v>296</v>
      </c>
      <c r="C312" t="s">
        <v>459</v>
      </c>
      <c r="D312" s="2">
        <v>1</v>
      </c>
      <c r="E312" s="1">
        <v>42238</v>
      </c>
      <c r="F312" s="3">
        <v>0.68478009259259254</v>
      </c>
      <c r="G312">
        <v>16.5</v>
      </c>
      <c r="H312">
        <v>16.5</v>
      </c>
      <c r="I312" t="s">
        <v>14</v>
      </c>
      <c r="J312" t="s">
        <v>31</v>
      </c>
      <c r="K312" t="s">
        <v>32</v>
      </c>
      <c r="L312" t="s">
        <v>33</v>
      </c>
    </row>
    <row r="313" spans="1:12" x14ac:dyDescent="0.2">
      <c r="A313">
        <v>312</v>
      </c>
      <c r="B313" t="s">
        <v>162</v>
      </c>
      <c r="C313" t="s">
        <v>460</v>
      </c>
      <c r="D313" s="2">
        <v>1</v>
      </c>
      <c r="E313" s="1">
        <v>42238</v>
      </c>
      <c r="F313" s="3">
        <v>0.72945601851851849</v>
      </c>
      <c r="G313">
        <v>20.75</v>
      </c>
      <c r="H313">
        <v>20.75</v>
      </c>
      <c r="I313" t="s">
        <v>20</v>
      </c>
      <c r="J313" t="s">
        <v>21</v>
      </c>
      <c r="K313" t="s">
        <v>92</v>
      </c>
      <c r="L313" t="s">
        <v>93</v>
      </c>
    </row>
    <row r="314" spans="1:12" x14ac:dyDescent="0.2">
      <c r="A314">
        <v>313</v>
      </c>
      <c r="B314" t="s">
        <v>12</v>
      </c>
      <c r="C314" t="s">
        <v>461</v>
      </c>
      <c r="D314" s="2">
        <v>1</v>
      </c>
      <c r="E314" s="1">
        <v>42238</v>
      </c>
      <c r="F314" s="3">
        <v>0.92962962962962958</v>
      </c>
      <c r="G314">
        <v>16</v>
      </c>
      <c r="H314">
        <v>16</v>
      </c>
      <c r="I314" t="s">
        <v>14</v>
      </c>
      <c r="J314" t="s">
        <v>15</v>
      </c>
      <c r="K314" t="s">
        <v>16</v>
      </c>
      <c r="L314" t="s">
        <v>17</v>
      </c>
    </row>
    <row r="315" spans="1:12" x14ac:dyDescent="0.2">
      <c r="A315">
        <v>314</v>
      </c>
      <c r="B315" t="s">
        <v>39</v>
      </c>
      <c r="C315" t="s">
        <v>462</v>
      </c>
      <c r="D315" s="2">
        <v>1</v>
      </c>
      <c r="E315" s="1">
        <v>42239</v>
      </c>
      <c r="F315" s="3">
        <v>0.48472222222222222</v>
      </c>
      <c r="G315">
        <v>15.25</v>
      </c>
      <c r="H315">
        <v>15.25</v>
      </c>
      <c r="I315" t="s">
        <v>20</v>
      </c>
      <c r="J315" t="s">
        <v>15</v>
      </c>
      <c r="K315" t="s">
        <v>41</v>
      </c>
      <c r="L315" t="s">
        <v>42</v>
      </c>
    </row>
    <row r="316" spans="1:12" x14ac:dyDescent="0.2">
      <c r="A316">
        <v>315</v>
      </c>
      <c r="B316" t="s">
        <v>187</v>
      </c>
      <c r="C316" t="s">
        <v>406</v>
      </c>
      <c r="D316" s="2">
        <v>1</v>
      </c>
      <c r="E316" s="1">
        <v>42239</v>
      </c>
      <c r="F316" s="3">
        <v>0.63249999999999995</v>
      </c>
      <c r="G316">
        <v>13.25</v>
      </c>
      <c r="H316">
        <v>13.25</v>
      </c>
      <c r="I316" t="s">
        <v>14</v>
      </c>
      <c r="J316" t="s">
        <v>15</v>
      </c>
      <c r="K316" t="s">
        <v>107</v>
      </c>
      <c r="L316" t="s">
        <v>108</v>
      </c>
    </row>
    <row r="317" spans="1:12" x14ac:dyDescent="0.2">
      <c r="A317">
        <v>316</v>
      </c>
      <c r="B317" t="s">
        <v>48</v>
      </c>
      <c r="C317" t="s">
        <v>463</v>
      </c>
      <c r="D317" s="2">
        <v>1</v>
      </c>
      <c r="E317" s="1">
        <v>42239</v>
      </c>
      <c r="F317" s="3">
        <v>0.7926157407407407</v>
      </c>
      <c r="G317">
        <v>20.75</v>
      </c>
      <c r="H317">
        <v>20.75</v>
      </c>
      <c r="I317" t="s">
        <v>20</v>
      </c>
      <c r="J317" t="s">
        <v>31</v>
      </c>
      <c r="K317" t="s">
        <v>50</v>
      </c>
      <c r="L317" t="s">
        <v>51</v>
      </c>
    </row>
    <row r="318" spans="1:12" x14ac:dyDescent="0.2">
      <c r="A318">
        <v>317</v>
      </c>
      <c r="B318" t="s">
        <v>307</v>
      </c>
      <c r="C318" t="s">
        <v>464</v>
      </c>
      <c r="D318" s="2">
        <v>1</v>
      </c>
      <c r="E318" s="1">
        <v>42241</v>
      </c>
      <c r="F318" s="3">
        <v>0.53746527777777775</v>
      </c>
      <c r="G318">
        <v>20.25</v>
      </c>
      <c r="H318">
        <v>20.25</v>
      </c>
      <c r="I318" t="s">
        <v>20</v>
      </c>
      <c r="J318" t="s">
        <v>26</v>
      </c>
      <c r="K318" t="s">
        <v>266</v>
      </c>
      <c r="L318" t="s">
        <v>267</v>
      </c>
    </row>
    <row r="319" spans="1:12" x14ac:dyDescent="0.2">
      <c r="A319">
        <v>318</v>
      </c>
      <c r="B319" t="s">
        <v>270</v>
      </c>
      <c r="C319" t="s">
        <v>465</v>
      </c>
      <c r="D319" s="2">
        <v>1</v>
      </c>
      <c r="E319" s="1">
        <v>42241</v>
      </c>
      <c r="F319" s="3">
        <v>0.72856481481481483</v>
      </c>
      <c r="G319">
        <v>12.5</v>
      </c>
      <c r="H319">
        <v>12.5</v>
      </c>
      <c r="I319" t="s">
        <v>14</v>
      </c>
      <c r="J319" t="s">
        <v>15</v>
      </c>
      <c r="K319" t="s">
        <v>41</v>
      </c>
      <c r="L319" t="s">
        <v>42</v>
      </c>
    </row>
    <row r="320" spans="1:12" x14ac:dyDescent="0.2">
      <c r="A320">
        <v>319</v>
      </c>
      <c r="B320" t="s">
        <v>96</v>
      </c>
      <c r="C320" t="s">
        <v>466</v>
      </c>
      <c r="D320" s="2">
        <v>2</v>
      </c>
      <c r="E320" s="1">
        <v>42243</v>
      </c>
      <c r="F320" s="3">
        <v>0.53350694444444446</v>
      </c>
      <c r="G320">
        <v>20.25</v>
      </c>
      <c r="H320">
        <v>40.5</v>
      </c>
      <c r="I320" t="s">
        <v>20</v>
      </c>
      <c r="J320" t="s">
        <v>26</v>
      </c>
      <c r="K320" t="s">
        <v>98</v>
      </c>
      <c r="L320" t="s">
        <v>99</v>
      </c>
    </row>
    <row r="321" spans="1:12" x14ac:dyDescent="0.2">
      <c r="A321">
        <v>320</v>
      </c>
      <c r="B321" t="s">
        <v>124</v>
      </c>
      <c r="C321" t="s">
        <v>467</v>
      </c>
      <c r="D321" s="2">
        <v>1</v>
      </c>
      <c r="E321" s="1">
        <v>42243</v>
      </c>
      <c r="F321" s="3">
        <v>0.72378472222222223</v>
      </c>
      <c r="G321">
        <v>12.5</v>
      </c>
      <c r="H321">
        <v>12.5</v>
      </c>
      <c r="I321" t="s">
        <v>45</v>
      </c>
      <c r="J321" t="s">
        <v>31</v>
      </c>
      <c r="K321" t="s">
        <v>88</v>
      </c>
      <c r="L321" t="s">
        <v>89</v>
      </c>
    </row>
    <row r="322" spans="1:12" x14ac:dyDescent="0.2">
      <c r="A322">
        <v>321</v>
      </c>
      <c r="B322" t="s">
        <v>84</v>
      </c>
      <c r="C322" t="s">
        <v>444</v>
      </c>
      <c r="D322" s="2">
        <v>1</v>
      </c>
      <c r="E322" s="1">
        <v>42244</v>
      </c>
      <c r="F322" s="3">
        <v>0.81170138888888888</v>
      </c>
      <c r="G322">
        <v>20.25</v>
      </c>
      <c r="H322">
        <v>20.25</v>
      </c>
      <c r="I322" t="s">
        <v>20</v>
      </c>
      <c r="J322" t="s">
        <v>31</v>
      </c>
      <c r="K322" t="s">
        <v>76</v>
      </c>
      <c r="L322" t="s">
        <v>77</v>
      </c>
    </row>
    <row r="323" spans="1:12" x14ac:dyDescent="0.2">
      <c r="A323">
        <v>322</v>
      </c>
      <c r="B323" t="s">
        <v>101</v>
      </c>
      <c r="C323" t="s">
        <v>468</v>
      </c>
      <c r="D323" s="2">
        <v>1</v>
      </c>
      <c r="E323" s="1">
        <v>42244</v>
      </c>
      <c r="F323" s="3">
        <v>0.92533564814814817</v>
      </c>
      <c r="G323">
        <v>20.75</v>
      </c>
      <c r="H323">
        <v>20.75</v>
      </c>
      <c r="I323" t="s">
        <v>20</v>
      </c>
      <c r="J323" t="s">
        <v>21</v>
      </c>
      <c r="K323" t="s">
        <v>103</v>
      </c>
      <c r="L323" t="s">
        <v>104</v>
      </c>
    </row>
    <row r="324" spans="1:12" x14ac:dyDescent="0.2">
      <c r="A324">
        <v>323</v>
      </c>
      <c r="B324" t="s">
        <v>34</v>
      </c>
      <c r="C324" t="s">
        <v>346</v>
      </c>
      <c r="D324" s="2">
        <v>1</v>
      </c>
      <c r="E324" s="1">
        <v>42244</v>
      </c>
      <c r="F324" s="3">
        <v>0.96173611111111112</v>
      </c>
      <c r="G324">
        <v>25.5</v>
      </c>
      <c r="H324">
        <v>25.5</v>
      </c>
      <c r="I324" t="s">
        <v>36</v>
      </c>
      <c r="J324" t="s">
        <v>15</v>
      </c>
      <c r="K324" t="s">
        <v>37</v>
      </c>
      <c r="L324" t="s">
        <v>38</v>
      </c>
    </row>
    <row r="325" spans="1:12" x14ac:dyDescent="0.2">
      <c r="A325">
        <v>324</v>
      </c>
      <c r="B325" t="s">
        <v>90</v>
      </c>
      <c r="C325" t="s">
        <v>469</v>
      </c>
      <c r="D325" s="2">
        <v>1</v>
      </c>
      <c r="E325" s="1">
        <v>42246</v>
      </c>
      <c r="F325" s="3">
        <v>0.49037037037037035</v>
      </c>
      <c r="G325">
        <v>12.75</v>
      </c>
      <c r="H325">
        <v>12.75</v>
      </c>
      <c r="I325" t="s">
        <v>45</v>
      </c>
      <c r="J325" t="s">
        <v>21</v>
      </c>
      <c r="K325" t="s">
        <v>92</v>
      </c>
      <c r="L325" t="s">
        <v>93</v>
      </c>
    </row>
    <row r="326" spans="1:12" x14ac:dyDescent="0.2">
      <c r="A326">
        <v>325</v>
      </c>
      <c r="B326" t="s">
        <v>126</v>
      </c>
      <c r="C326" t="s">
        <v>470</v>
      </c>
      <c r="D326" s="2">
        <v>1</v>
      </c>
      <c r="E326" s="1">
        <v>42246</v>
      </c>
      <c r="F326" s="3">
        <v>0.61008101851851848</v>
      </c>
      <c r="G326">
        <v>10.5</v>
      </c>
      <c r="H326">
        <v>10.5</v>
      </c>
      <c r="I326" t="s">
        <v>45</v>
      </c>
      <c r="J326" t="s">
        <v>15</v>
      </c>
      <c r="K326" t="s">
        <v>107</v>
      </c>
      <c r="L326" t="s">
        <v>108</v>
      </c>
    </row>
    <row r="327" spans="1:12" x14ac:dyDescent="0.2">
      <c r="A327">
        <v>326</v>
      </c>
      <c r="B327" t="s">
        <v>471</v>
      </c>
      <c r="C327" t="s">
        <v>472</v>
      </c>
      <c r="D327" s="2">
        <v>1</v>
      </c>
      <c r="E327" s="1">
        <v>42246</v>
      </c>
      <c r="F327" s="3">
        <v>0.76853009259259264</v>
      </c>
      <c r="G327">
        <v>12.5</v>
      </c>
      <c r="H327">
        <v>12.5</v>
      </c>
      <c r="I327" t="s">
        <v>45</v>
      </c>
      <c r="J327" t="s">
        <v>31</v>
      </c>
      <c r="K327" t="s">
        <v>328</v>
      </c>
      <c r="L327" t="s">
        <v>329</v>
      </c>
    </row>
    <row r="328" spans="1:12" x14ac:dyDescent="0.2">
      <c r="A328">
        <v>327</v>
      </c>
      <c r="B328" t="s">
        <v>52</v>
      </c>
      <c r="C328" t="s">
        <v>473</v>
      </c>
      <c r="D328" s="2">
        <v>1</v>
      </c>
      <c r="E328" s="1">
        <v>42246</v>
      </c>
      <c r="F328" s="3">
        <v>0.83248842592592598</v>
      </c>
      <c r="G328">
        <v>12.5</v>
      </c>
      <c r="H328">
        <v>12.5</v>
      </c>
      <c r="I328" t="s">
        <v>45</v>
      </c>
      <c r="J328" t="s">
        <v>31</v>
      </c>
      <c r="K328" t="s">
        <v>32</v>
      </c>
      <c r="L328" t="s">
        <v>33</v>
      </c>
    </row>
    <row r="329" spans="1:12" x14ac:dyDescent="0.2">
      <c r="A329">
        <v>328</v>
      </c>
      <c r="B329" t="s">
        <v>407</v>
      </c>
      <c r="C329" t="s">
        <v>474</v>
      </c>
      <c r="D329" s="2">
        <v>2</v>
      </c>
      <c r="E329" s="1">
        <v>42247</v>
      </c>
      <c r="F329" s="3">
        <v>0.5499074074074074</v>
      </c>
      <c r="G329">
        <v>14.75</v>
      </c>
      <c r="H329">
        <v>29.5</v>
      </c>
      <c r="I329" t="s">
        <v>14</v>
      </c>
      <c r="J329" t="s">
        <v>26</v>
      </c>
      <c r="K329" t="s">
        <v>60</v>
      </c>
      <c r="L329" t="s">
        <v>61</v>
      </c>
    </row>
    <row r="330" spans="1:12" x14ac:dyDescent="0.2">
      <c r="A330">
        <v>329</v>
      </c>
      <c r="B330" t="s">
        <v>105</v>
      </c>
      <c r="C330" t="s">
        <v>475</v>
      </c>
      <c r="D330" s="2">
        <v>1</v>
      </c>
      <c r="E330" s="1">
        <v>42248</v>
      </c>
      <c r="F330" s="3">
        <v>0.52222222222222225</v>
      </c>
      <c r="G330">
        <v>16.5</v>
      </c>
      <c r="H330">
        <v>16.5</v>
      </c>
      <c r="I330" t="s">
        <v>20</v>
      </c>
      <c r="J330" t="s">
        <v>15</v>
      </c>
      <c r="K330" t="s">
        <v>107</v>
      </c>
      <c r="L330" t="s">
        <v>108</v>
      </c>
    </row>
    <row r="331" spans="1:12" x14ac:dyDescent="0.2">
      <c r="A331">
        <v>330</v>
      </c>
      <c r="B331" t="s">
        <v>476</v>
      </c>
      <c r="C331" t="s">
        <v>477</v>
      </c>
      <c r="D331" s="2">
        <v>1</v>
      </c>
      <c r="E331" s="1">
        <v>42248</v>
      </c>
      <c r="F331" s="3">
        <v>0.53137731481481476</v>
      </c>
      <c r="G331">
        <v>12.75</v>
      </c>
      <c r="H331">
        <v>12.75</v>
      </c>
      <c r="I331" t="s">
        <v>45</v>
      </c>
      <c r="J331" t="s">
        <v>26</v>
      </c>
      <c r="K331" t="s">
        <v>72</v>
      </c>
      <c r="L331" t="s">
        <v>73</v>
      </c>
    </row>
    <row r="332" spans="1:12" x14ac:dyDescent="0.2">
      <c r="A332">
        <v>331</v>
      </c>
      <c r="B332" t="s">
        <v>39</v>
      </c>
      <c r="C332" t="s">
        <v>478</v>
      </c>
      <c r="D332" s="2">
        <v>1</v>
      </c>
      <c r="E332" s="1">
        <v>42248</v>
      </c>
      <c r="F332" s="3">
        <v>0.67652777777777773</v>
      </c>
      <c r="G332">
        <v>15.25</v>
      </c>
      <c r="H332">
        <v>15.25</v>
      </c>
      <c r="I332" t="s">
        <v>20</v>
      </c>
      <c r="J332" t="s">
        <v>15</v>
      </c>
      <c r="K332" t="s">
        <v>41</v>
      </c>
      <c r="L332" t="s">
        <v>42</v>
      </c>
    </row>
    <row r="333" spans="1:12" x14ac:dyDescent="0.2">
      <c r="A333">
        <v>332</v>
      </c>
      <c r="B333" t="s">
        <v>43</v>
      </c>
      <c r="C333" t="s">
        <v>479</v>
      </c>
      <c r="D333" s="2">
        <v>1</v>
      </c>
      <c r="E333" s="1">
        <v>42250</v>
      </c>
      <c r="F333" s="3">
        <v>0.78841435185185182</v>
      </c>
      <c r="G333">
        <v>12.5</v>
      </c>
      <c r="H333">
        <v>12.5</v>
      </c>
      <c r="I333" t="s">
        <v>45</v>
      </c>
      <c r="J333" t="s">
        <v>31</v>
      </c>
      <c r="K333" t="s">
        <v>46</v>
      </c>
      <c r="L333" t="s">
        <v>47</v>
      </c>
    </row>
    <row r="334" spans="1:12" x14ac:dyDescent="0.2">
      <c r="A334">
        <v>333</v>
      </c>
      <c r="B334" t="s">
        <v>480</v>
      </c>
      <c r="C334" t="s">
        <v>481</v>
      </c>
      <c r="D334" s="2">
        <v>1</v>
      </c>
      <c r="E334" s="1">
        <v>42251</v>
      </c>
      <c r="F334" s="3">
        <v>0.56298611111111108</v>
      </c>
      <c r="G334">
        <v>16</v>
      </c>
      <c r="H334">
        <v>16</v>
      </c>
      <c r="I334" t="s">
        <v>14</v>
      </c>
      <c r="J334" t="s">
        <v>26</v>
      </c>
      <c r="K334" t="s">
        <v>266</v>
      </c>
      <c r="L334" t="s">
        <v>267</v>
      </c>
    </row>
    <row r="335" spans="1:12" x14ac:dyDescent="0.2">
      <c r="A335">
        <v>334</v>
      </c>
      <c r="B335" t="s">
        <v>215</v>
      </c>
      <c r="C335" t="s">
        <v>482</v>
      </c>
      <c r="D335" s="2">
        <v>1</v>
      </c>
      <c r="E335" s="1">
        <v>42251</v>
      </c>
      <c r="F335" s="3">
        <v>0.56298611111111108</v>
      </c>
      <c r="G335">
        <v>12</v>
      </c>
      <c r="H335">
        <v>12</v>
      </c>
      <c r="I335" t="s">
        <v>45</v>
      </c>
      <c r="J335" t="s">
        <v>26</v>
      </c>
      <c r="K335" t="s">
        <v>122</v>
      </c>
      <c r="L335" t="s">
        <v>123</v>
      </c>
    </row>
    <row r="336" spans="1:12" x14ac:dyDescent="0.2">
      <c r="A336">
        <v>335</v>
      </c>
      <c r="B336" t="s">
        <v>12</v>
      </c>
      <c r="C336" t="s">
        <v>483</v>
      </c>
      <c r="D336" s="2">
        <v>1</v>
      </c>
      <c r="E336" s="1">
        <v>42252</v>
      </c>
      <c r="F336" s="3">
        <v>0.93222222222222217</v>
      </c>
      <c r="G336">
        <v>16</v>
      </c>
      <c r="H336">
        <v>16</v>
      </c>
      <c r="I336" t="s">
        <v>14</v>
      </c>
      <c r="J336" t="s">
        <v>15</v>
      </c>
      <c r="K336" t="s">
        <v>16</v>
      </c>
      <c r="L336" t="s">
        <v>17</v>
      </c>
    </row>
    <row r="337" spans="1:12" x14ac:dyDescent="0.2">
      <c r="A337">
        <v>336</v>
      </c>
      <c r="B337" t="s">
        <v>405</v>
      </c>
      <c r="C337" t="s">
        <v>484</v>
      </c>
      <c r="D337" s="2">
        <v>1</v>
      </c>
      <c r="E337" s="1">
        <v>42253</v>
      </c>
      <c r="F337" s="3">
        <v>0.7252777777777778</v>
      </c>
      <c r="G337">
        <v>20.5</v>
      </c>
      <c r="H337">
        <v>20.5</v>
      </c>
      <c r="I337" t="s">
        <v>20</v>
      </c>
      <c r="J337" t="s">
        <v>15</v>
      </c>
      <c r="K337" t="s">
        <v>16</v>
      </c>
      <c r="L337" t="s">
        <v>17</v>
      </c>
    </row>
    <row r="338" spans="1:12" x14ac:dyDescent="0.2">
      <c r="A338">
        <v>337</v>
      </c>
      <c r="B338" t="s">
        <v>58</v>
      </c>
      <c r="C338" t="s">
        <v>485</v>
      </c>
      <c r="D338" s="2">
        <v>1</v>
      </c>
      <c r="E338" s="1">
        <v>42253</v>
      </c>
      <c r="F338" s="3">
        <v>0.74506944444444445</v>
      </c>
      <c r="G338">
        <v>17.95</v>
      </c>
      <c r="H338">
        <v>17.95</v>
      </c>
      <c r="I338" t="s">
        <v>20</v>
      </c>
      <c r="J338" t="s">
        <v>26</v>
      </c>
      <c r="K338" t="s">
        <v>60</v>
      </c>
      <c r="L338" t="s">
        <v>61</v>
      </c>
    </row>
    <row r="339" spans="1:12" x14ac:dyDescent="0.2">
      <c r="A339">
        <v>338</v>
      </c>
      <c r="B339" t="s">
        <v>238</v>
      </c>
      <c r="C339" t="s">
        <v>486</v>
      </c>
      <c r="D339" s="2">
        <v>1</v>
      </c>
      <c r="E339" s="1">
        <v>42254</v>
      </c>
      <c r="F339" s="3">
        <v>0.8332060185185185</v>
      </c>
      <c r="G339">
        <v>20.25</v>
      </c>
      <c r="H339">
        <v>20.25</v>
      </c>
      <c r="I339" t="s">
        <v>20</v>
      </c>
      <c r="J339" t="s">
        <v>26</v>
      </c>
      <c r="K339" t="s">
        <v>56</v>
      </c>
      <c r="L339" t="s">
        <v>57</v>
      </c>
    </row>
    <row r="340" spans="1:12" x14ac:dyDescent="0.2">
      <c r="A340">
        <v>339</v>
      </c>
      <c r="B340" t="s">
        <v>264</v>
      </c>
      <c r="C340" t="s">
        <v>379</v>
      </c>
      <c r="D340" s="2">
        <v>1</v>
      </c>
      <c r="E340" s="1">
        <v>42255</v>
      </c>
      <c r="F340" s="3">
        <v>0.52924768518518517</v>
      </c>
      <c r="G340">
        <v>12</v>
      </c>
      <c r="H340">
        <v>12</v>
      </c>
      <c r="I340" t="s">
        <v>45</v>
      </c>
      <c r="J340" t="s">
        <v>26</v>
      </c>
      <c r="K340" t="s">
        <v>266</v>
      </c>
      <c r="L340" t="s">
        <v>267</v>
      </c>
    </row>
    <row r="341" spans="1:12" x14ac:dyDescent="0.2">
      <c r="A341">
        <v>340</v>
      </c>
      <c r="B341" t="s">
        <v>162</v>
      </c>
      <c r="C341" t="s">
        <v>487</v>
      </c>
      <c r="D341" s="2">
        <v>1</v>
      </c>
      <c r="E341" s="1">
        <v>42255</v>
      </c>
      <c r="F341" s="3">
        <v>0.7272453703703704</v>
      </c>
      <c r="G341">
        <v>20.75</v>
      </c>
      <c r="H341">
        <v>20.75</v>
      </c>
      <c r="I341" t="s">
        <v>20</v>
      </c>
      <c r="J341" t="s">
        <v>21</v>
      </c>
      <c r="K341" t="s">
        <v>92</v>
      </c>
      <c r="L341" t="s">
        <v>93</v>
      </c>
    </row>
    <row r="342" spans="1:12" x14ac:dyDescent="0.2">
      <c r="A342">
        <v>341</v>
      </c>
      <c r="B342" t="s">
        <v>58</v>
      </c>
      <c r="C342" t="s">
        <v>488</v>
      </c>
      <c r="D342" s="2">
        <v>1</v>
      </c>
      <c r="E342" s="1">
        <v>42255</v>
      </c>
      <c r="F342" s="3">
        <v>0.75732638888888892</v>
      </c>
      <c r="G342">
        <v>17.95</v>
      </c>
      <c r="H342">
        <v>17.95</v>
      </c>
      <c r="I342" t="s">
        <v>20</v>
      </c>
      <c r="J342" t="s">
        <v>26</v>
      </c>
      <c r="K342" t="s">
        <v>60</v>
      </c>
      <c r="L342" t="s">
        <v>61</v>
      </c>
    </row>
    <row r="343" spans="1:12" x14ac:dyDescent="0.2">
      <c r="A343">
        <v>342</v>
      </c>
      <c r="B343" t="s">
        <v>238</v>
      </c>
      <c r="C343" t="s">
        <v>489</v>
      </c>
      <c r="D343" s="2">
        <v>1</v>
      </c>
      <c r="E343" s="1">
        <v>42255</v>
      </c>
      <c r="F343" s="3">
        <v>0.79737268518518523</v>
      </c>
      <c r="G343">
        <v>20.25</v>
      </c>
      <c r="H343">
        <v>20.25</v>
      </c>
      <c r="I343" t="s">
        <v>20</v>
      </c>
      <c r="J343" t="s">
        <v>26</v>
      </c>
      <c r="K343" t="s">
        <v>56</v>
      </c>
      <c r="L343" t="s">
        <v>57</v>
      </c>
    </row>
    <row r="344" spans="1:12" x14ac:dyDescent="0.2">
      <c r="A344">
        <v>343</v>
      </c>
      <c r="B344" t="s">
        <v>12</v>
      </c>
      <c r="C344" t="s">
        <v>490</v>
      </c>
      <c r="D344" s="2">
        <v>1</v>
      </c>
      <c r="E344" s="1">
        <v>42257</v>
      </c>
      <c r="F344" s="3">
        <v>0.60398148148148145</v>
      </c>
      <c r="G344">
        <v>16</v>
      </c>
      <c r="H344">
        <v>16</v>
      </c>
      <c r="I344" t="s">
        <v>14</v>
      </c>
      <c r="J344" t="s">
        <v>15</v>
      </c>
      <c r="K344" t="s">
        <v>16</v>
      </c>
      <c r="L344" t="s">
        <v>17</v>
      </c>
    </row>
    <row r="345" spans="1:12" x14ac:dyDescent="0.2">
      <c r="A345">
        <v>344</v>
      </c>
      <c r="B345" t="s">
        <v>195</v>
      </c>
      <c r="C345" t="s">
        <v>491</v>
      </c>
      <c r="D345" s="2">
        <v>1</v>
      </c>
      <c r="E345" s="1">
        <v>42258</v>
      </c>
      <c r="F345" s="3">
        <v>0.52554398148148151</v>
      </c>
      <c r="G345">
        <v>12</v>
      </c>
      <c r="H345">
        <v>12</v>
      </c>
      <c r="I345" t="s">
        <v>45</v>
      </c>
      <c r="J345" t="s">
        <v>26</v>
      </c>
      <c r="K345" t="s">
        <v>197</v>
      </c>
      <c r="L345" t="s">
        <v>198</v>
      </c>
    </row>
    <row r="346" spans="1:12" x14ac:dyDescent="0.2">
      <c r="A346">
        <v>345</v>
      </c>
      <c r="B346" t="s">
        <v>426</v>
      </c>
      <c r="C346" t="s">
        <v>492</v>
      </c>
      <c r="D346" s="2">
        <v>1</v>
      </c>
      <c r="E346" s="1">
        <v>42258</v>
      </c>
      <c r="F346" s="3">
        <v>0.52554398148148151</v>
      </c>
      <c r="G346">
        <v>20.5</v>
      </c>
      <c r="H346">
        <v>20.5</v>
      </c>
      <c r="I346" t="s">
        <v>20</v>
      </c>
      <c r="J346" t="s">
        <v>15</v>
      </c>
      <c r="K346" t="s">
        <v>184</v>
      </c>
      <c r="L346" t="s">
        <v>185</v>
      </c>
    </row>
    <row r="347" spans="1:12" x14ac:dyDescent="0.2">
      <c r="A347">
        <v>346</v>
      </c>
      <c r="B347" t="s">
        <v>101</v>
      </c>
      <c r="C347" t="s">
        <v>493</v>
      </c>
      <c r="D347" s="2">
        <v>1</v>
      </c>
      <c r="E347" s="1">
        <v>42258</v>
      </c>
      <c r="F347" s="3">
        <v>0.59097222222222223</v>
      </c>
      <c r="G347">
        <v>20.75</v>
      </c>
      <c r="H347">
        <v>20.75</v>
      </c>
      <c r="I347" t="s">
        <v>20</v>
      </c>
      <c r="J347" t="s">
        <v>21</v>
      </c>
      <c r="K347" t="s">
        <v>103</v>
      </c>
      <c r="L347" t="s">
        <v>104</v>
      </c>
    </row>
    <row r="348" spans="1:12" x14ac:dyDescent="0.2">
      <c r="A348">
        <v>347</v>
      </c>
      <c r="B348" t="s">
        <v>480</v>
      </c>
      <c r="C348" t="s">
        <v>494</v>
      </c>
      <c r="D348" s="2">
        <v>1</v>
      </c>
      <c r="E348" s="1">
        <v>42258</v>
      </c>
      <c r="F348" s="3">
        <v>0.60591435185185183</v>
      </c>
      <c r="G348">
        <v>16</v>
      </c>
      <c r="H348">
        <v>16</v>
      </c>
      <c r="I348" t="s">
        <v>14</v>
      </c>
      <c r="J348" t="s">
        <v>26</v>
      </c>
      <c r="K348" t="s">
        <v>266</v>
      </c>
      <c r="L348" t="s">
        <v>267</v>
      </c>
    </row>
    <row r="349" spans="1:12" x14ac:dyDescent="0.2">
      <c r="A349">
        <v>348</v>
      </c>
      <c r="B349" t="s">
        <v>74</v>
      </c>
      <c r="C349" t="s">
        <v>495</v>
      </c>
      <c r="D349" s="2">
        <v>1</v>
      </c>
      <c r="E349" s="1">
        <v>42259</v>
      </c>
      <c r="F349" s="3">
        <v>0.51112268518518522</v>
      </c>
      <c r="G349">
        <v>12.25</v>
      </c>
      <c r="H349">
        <v>12.25</v>
      </c>
      <c r="I349" t="s">
        <v>45</v>
      </c>
      <c r="J349" t="s">
        <v>31</v>
      </c>
      <c r="K349" t="s">
        <v>76</v>
      </c>
      <c r="L349" t="s">
        <v>77</v>
      </c>
    </row>
    <row r="350" spans="1:12" x14ac:dyDescent="0.2">
      <c r="A350">
        <v>349</v>
      </c>
      <c r="B350" t="s">
        <v>39</v>
      </c>
      <c r="C350" t="s">
        <v>496</v>
      </c>
      <c r="D350" s="2">
        <v>1</v>
      </c>
      <c r="E350" s="1">
        <v>42259</v>
      </c>
      <c r="F350" s="3">
        <v>0.56674768518518515</v>
      </c>
      <c r="G350">
        <v>15.25</v>
      </c>
      <c r="H350">
        <v>15.25</v>
      </c>
      <c r="I350" t="s">
        <v>20</v>
      </c>
      <c r="J350" t="s">
        <v>15</v>
      </c>
      <c r="K350" t="s">
        <v>41</v>
      </c>
      <c r="L350" t="s">
        <v>42</v>
      </c>
    </row>
    <row r="351" spans="1:12" x14ac:dyDescent="0.2">
      <c r="A351">
        <v>350</v>
      </c>
      <c r="B351" t="s">
        <v>480</v>
      </c>
      <c r="C351" t="s">
        <v>497</v>
      </c>
      <c r="D351" s="2">
        <v>1</v>
      </c>
      <c r="E351" s="1">
        <v>42259</v>
      </c>
      <c r="F351" s="3">
        <v>0.7341550925925926</v>
      </c>
      <c r="G351">
        <v>16</v>
      </c>
      <c r="H351">
        <v>16</v>
      </c>
      <c r="I351" t="s">
        <v>14</v>
      </c>
      <c r="J351" t="s">
        <v>26</v>
      </c>
      <c r="K351" t="s">
        <v>266</v>
      </c>
      <c r="L351" t="s">
        <v>267</v>
      </c>
    </row>
    <row r="352" spans="1:12" x14ac:dyDescent="0.2">
      <c r="A352">
        <v>351</v>
      </c>
      <c r="B352" t="s">
        <v>498</v>
      </c>
      <c r="C352" t="s">
        <v>499</v>
      </c>
      <c r="D352" s="2">
        <v>1</v>
      </c>
      <c r="E352" s="1">
        <v>42260</v>
      </c>
      <c r="F352" s="3">
        <v>0.77577546296296296</v>
      </c>
      <c r="G352">
        <v>12.75</v>
      </c>
      <c r="H352">
        <v>12.75</v>
      </c>
      <c r="I352" t="s">
        <v>45</v>
      </c>
      <c r="J352" t="s">
        <v>21</v>
      </c>
      <c r="K352" t="s">
        <v>140</v>
      </c>
      <c r="L352" t="s">
        <v>141</v>
      </c>
    </row>
    <row r="353" spans="1:12" x14ac:dyDescent="0.2">
      <c r="A353">
        <v>352</v>
      </c>
      <c r="B353" t="s">
        <v>162</v>
      </c>
      <c r="C353" t="s">
        <v>500</v>
      </c>
      <c r="D353" s="2">
        <v>1</v>
      </c>
      <c r="E353" s="1">
        <v>42260</v>
      </c>
      <c r="F353" s="3">
        <v>0.89853009259259264</v>
      </c>
      <c r="G353">
        <v>20.75</v>
      </c>
      <c r="H353">
        <v>20.75</v>
      </c>
      <c r="I353" t="s">
        <v>20</v>
      </c>
      <c r="J353" t="s">
        <v>21</v>
      </c>
      <c r="K353" t="s">
        <v>92</v>
      </c>
      <c r="L353" t="s">
        <v>93</v>
      </c>
    </row>
    <row r="354" spans="1:12" x14ac:dyDescent="0.2">
      <c r="A354">
        <v>353</v>
      </c>
      <c r="B354" t="s">
        <v>321</v>
      </c>
      <c r="C354" t="s">
        <v>501</v>
      </c>
      <c r="D354" s="2">
        <v>1</v>
      </c>
      <c r="E354" s="1">
        <v>42262</v>
      </c>
      <c r="F354" s="3">
        <v>0.74335648148148148</v>
      </c>
      <c r="G354">
        <v>16.5</v>
      </c>
      <c r="H354">
        <v>16.5</v>
      </c>
      <c r="I354" t="s">
        <v>14</v>
      </c>
      <c r="J354" t="s">
        <v>26</v>
      </c>
      <c r="K354" t="s">
        <v>166</v>
      </c>
      <c r="L354" t="s">
        <v>167</v>
      </c>
    </row>
    <row r="355" spans="1:12" x14ac:dyDescent="0.2">
      <c r="A355">
        <v>354</v>
      </c>
      <c r="B355" t="s">
        <v>480</v>
      </c>
      <c r="C355" t="s">
        <v>502</v>
      </c>
      <c r="D355" s="2">
        <v>1</v>
      </c>
      <c r="E355" s="1">
        <v>42262</v>
      </c>
      <c r="F355" s="3">
        <v>0.92372685185185188</v>
      </c>
      <c r="G355">
        <v>16</v>
      </c>
      <c r="H355">
        <v>16</v>
      </c>
      <c r="I355" t="s">
        <v>14</v>
      </c>
      <c r="J355" t="s">
        <v>26</v>
      </c>
      <c r="K355" t="s">
        <v>266</v>
      </c>
      <c r="L355" t="s">
        <v>267</v>
      </c>
    </row>
    <row r="356" spans="1:12" x14ac:dyDescent="0.2">
      <c r="A356">
        <v>355</v>
      </c>
      <c r="B356" t="s">
        <v>155</v>
      </c>
      <c r="C356" t="s">
        <v>503</v>
      </c>
      <c r="D356" s="2">
        <v>1</v>
      </c>
      <c r="E356" s="1">
        <v>42263</v>
      </c>
      <c r="F356" s="3">
        <v>0.60373842592592597</v>
      </c>
      <c r="G356">
        <v>16.5</v>
      </c>
      <c r="H356">
        <v>16.5</v>
      </c>
      <c r="I356" t="s">
        <v>14</v>
      </c>
      <c r="J356" t="s">
        <v>31</v>
      </c>
      <c r="K356" t="s">
        <v>46</v>
      </c>
      <c r="L356" t="s">
        <v>47</v>
      </c>
    </row>
    <row r="357" spans="1:12" x14ac:dyDescent="0.2">
      <c r="A357">
        <v>356</v>
      </c>
      <c r="B357" t="s">
        <v>111</v>
      </c>
      <c r="C357" t="s">
        <v>504</v>
      </c>
      <c r="D357" s="2">
        <v>1</v>
      </c>
      <c r="E357" s="1">
        <v>42263</v>
      </c>
      <c r="F357" s="3">
        <v>0.74935185185185182</v>
      </c>
      <c r="G357">
        <v>20.75</v>
      </c>
      <c r="H357">
        <v>20.75</v>
      </c>
      <c r="I357" t="s">
        <v>20</v>
      </c>
      <c r="J357" t="s">
        <v>21</v>
      </c>
      <c r="K357" t="s">
        <v>81</v>
      </c>
      <c r="L357" t="s">
        <v>82</v>
      </c>
    </row>
    <row r="358" spans="1:12" x14ac:dyDescent="0.2">
      <c r="A358">
        <v>357</v>
      </c>
      <c r="B358" t="s">
        <v>158</v>
      </c>
      <c r="C358" t="s">
        <v>505</v>
      </c>
      <c r="D358" s="2">
        <v>1</v>
      </c>
      <c r="E358" s="1">
        <v>42264</v>
      </c>
      <c r="F358" s="3">
        <v>0.6802083333333333</v>
      </c>
      <c r="G358">
        <v>20.75</v>
      </c>
      <c r="H358">
        <v>20.75</v>
      </c>
      <c r="I358" t="s">
        <v>20</v>
      </c>
      <c r="J358" t="s">
        <v>31</v>
      </c>
      <c r="K358" t="s">
        <v>46</v>
      </c>
      <c r="L358" t="s">
        <v>47</v>
      </c>
    </row>
    <row r="359" spans="1:12" x14ac:dyDescent="0.2">
      <c r="A359">
        <v>358</v>
      </c>
      <c r="B359" t="s">
        <v>101</v>
      </c>
      <c r="C359" t="s">
        <v>506</v>
      </c>
      <c r="D359" s="2">
        <v>1</v>
      </c>
      <c r="E359" s="1">
        <v>42265</v>
      </c>
      <c r="F359" s="3">
        <v>0.49194444444444446</v>
      </c>
      <c r="G359">
        <v>20.75</v>
      </c>
      <c r="H359">
        <v>20.75</v>
      </c>
      <c r="I359" t="s">
        <v>20</v>
      </c>
      <c r="J359" t="s">
        <v>21</v>
      </c>
      <c r="K359" t="s">
        <v>103</v>
      </c>
      <c r="L359" t="s">
        <v>104</v>
      </c>
    </row>
    <row r="360" spans="1:12" x14ac:dyDescent="0.2">
      <c r="A360">
        <v>359</v>
      </c>
      <c r="B360" t="s">
        <v>84</v>
      </c>
      <c r="C360" t="s">
        <v>507</v>
      </c>
      <c r="D360" s="2">
        <v>1</v>
      </c>
      <c r="E360" s="1">
        <v>42265</v>
      </c>
      <c r="F360" s="3">
        <v>0.87671296296296297</v>
      </c>
      <c r="G360">
        <v>20.25</v>
      </c>
      <c r="H360">
        <v>20.25</v>
      </c>
      <c r="I360" t="s">
        <v>20</v>
      </c>
      <c r="J360" t="s">
        <v>31</v>
      </c>
      <c r="K360" t="s">
        <v>76</v>
      </c>
      <c r="L360" t="s">
        <v>77</v>
      </c>
    </row>
    <row r="361" spans="1:12" x14ac:dyDescent="0.2">
      <c r="A361">
        <v>360</v>
      </c>
      <c r="B361" t="s">
        <v>133</v>
      </c>
      <c r="C361" t="s">
        <v>508</v>
      </c>
      <c r="D361" s="2">
        <v>1</v>
      </c>
      <c r="E361" s="1">
        <v>42266</v>
      </c>
      <c r="F361" s="3">
        <v>0.63042824074074078</v>
      </c>
      <c r="G361">
        <v>16.75</v>
      </c>
      <c r="H361">
        <v>16.75</v>
      </c>
      <c r="I361" t="s">
        <v>14</v>
      </c>
      <c r="J361" t="s">
        <v>21</v>
      </c>
      <c r="K361" t="s">
        <v>103</v>
      </c>
      <c r="L361" t="s">
        <v>104</v>
      </c>
    </row>
    <row r="362" spans="1:12" x14ac:dyDescent="0.2">
      <c r="A362">
        <v>361</v>
      </c>
      <c r="B362" t="s">
        <v>381</v>
      </c>
      <c r="C362" t="s">
        <v>509</v>
      </c>
      <c r="D362" s="2">
        <v>1</v>
      </c>
      <c r="E362" s="1">
        <v>42266</v>
      </c>
      <c r="F362" s="3">
        <v>0.741724537037037</v>
      </c>
      <c r="G362">
        <v>12.25</v>
      </c>
      <c r="H362">
        <v>12.25</v>
      </c>
      <c r="I362" t="s">
        <v>45</v>
      </c>
      <c r="J362" t="s">
        <v>31</v>
      </c>
      <c r="K362" t="s">
        <v>146</v>
      </c>
      <c r="L362" t="s">
        <v>147</v>
      </c>
    </row>
    <row r="363" spans="1:12" x14ac:dyDescent="0.2">
      <c r="A363">
        <v>362</v>
      </c>
      <c r="B363" t="s">
        <v>105</v>
      </c>
      <c r="C363" t="s">
        <v>510</v>
      </c>
      <c r="D363" s="2">
        <v>1</v>
      </c>
      <c r="E363" s="1">
        <v>42266</v>
      </c>
      <c r="F363" s="3">
        <v>0.83728009259259262</v>
      </c>
      <c r="G363">
        <v>16.5</v>
      </c>
      <c r="H363">
        <v>16.5</v>
      </c>
      <c r="I363" t="s">
        <v>20</v>
      </c>
      <c r="J363" t="s">
        <v>15</v>
      </c>
      <c r="K363" t="s">
        <v>107</v>
      </c>
      <c r="L363" t="s">
        <v>108</v>
      </c>
    </row>
    <row r="364" spans="1:12" x14ac:dyDescent="0.2">
      <c r="A364">
        <v>363</v>
      </c>
      <c r="B364" t="s">
        <v>170</v>
      </c>
      <c r="C364" t="s">
        <v>188</v>
      </c>
      <c r="D364" s="2">
        <v>1</v>
      </c>
      <c r="E364" s="1">
        <v>42266</v>
      </c>
      <c r="F364" s="3">
        <v>0.87607638888888884</v>
      </c>
      <c r="G364">
        <v>12</v>
      </c>
      <c r="H364">
        <v>12</v>
      </c>
      <c r="I364" t="s">
        <v>45</v>
      </c>
      <c r="J364" t="s">
        <v>15</v>
      </c>
      <c r="K364" t="s">
        <v>172</v>
      </c>
      <c r="L364" t="s">
        <v>173</v>
      </c>
    </row>
    <row r="365" spans="1:12" x14ac:dyDescent="0.2">
      <c r="A365">
        <v>364</v>
      </c>
      <c r="B365" t="s">
        <v>407</v>
      </c>
      <c r="C365" t="s">
        <v>511</v>
      </c>
      <c r="D365" s="2">
        <v>1</v>
      </c>
      <c r="E365" s="1">
        <v>42268</v>
      </c>
      <c r="F365" s="3">
        <v>0.53749999999999998</v>
      </c>
      <c r="G365">
        <v>14.75</v>
      </c>
      <c r="H365">
        <v>14.75</v>
      </c>
      <c r="I365" t="s">
        <v>14</v>
      </c>
      <c r="J365" t="s">
        <v>26</v>
      </c>
      <c r="K365" t="s">
        <v>60</v>
      </c>
      <c r="L365" t="s">
        <v>61</v>
      </c>
    </row>
    <row r="366" spans="1:12" x14ac:dyDescent="0.2">
      <c r="A366">
        <v>365</v>
      </c>
      <c r="B366" t="s">
        <v>70</v>
      </c>
      <c r="C366" t="s">
        <v>303</v>
      </c>
      <c r="D366" s="2">
        <v>1</v>
      </c>
      <c r="E366" s="1">
        <v>42273</v>
      </c>
      <c r="F366" s="3">
        <v>0.52822916666666664</v>
      </c>
      <c r="G366">
        <v>16.75</v>
      </c>
      <c r="H366">
        <v>16.75</v>
      </c>
      <c r="I366" t="s">
        <v>14</v>
      </c>
      <c r="J366" t="s">
        <v>26</v>
      </c>
      <c r="K366" t="s">
        <v>72</v>
      </c>
      <c r="L366" t="s">
        <v>73</v>
      </c>
    </row>
    <row r="367" spans="1:12" x14ac:dyDescent="0.2">
      <c r="A367">
        <v>366</v>
      </c>
      <c r="B367" t="s">
        <v>24</v>
      </c>
      <c r="C367" t="s">
        <v>512</v>
      </c>
      <c r="D367" s="2">
        <v>2</v>
      </c>
      <c r="E367" s="1">
        <v>42273</v>
      </c>
      <c r="F367" s="3">
        <v>0.7485532407407407</v>
      </c>
      <c r="G367">
        <v>18.5</v>
      </c>
      <c r="H367">
        <v>37</v>
      </c>
      <c r="I367" t="s">
        <v>20</v>
      </c>
      <c r="J367" t="s">
        <v>26</v>
      </c>
      <c r="K367" t="s">
        <v>27</v>
      </c>
      <c r="L367" t="s">
        <v>28</v>
      </c>
    </row>
    <row r="368" spans="1:12" x14ac:dyDescent="0.2">
      <c r="A368">
        <v>367</v>
      </c>
      <c r="B368" t="s">
        <v>405</v>
      </c>
      <c r="C368" t="s">
        <v>513</v>
      </c>
      <c r="D368" s="2">
        <v>1</v>
      </c>
      <c r="E368" s="1">
        <v>42273</v>
      </c>
      <c r="F368" s="3">
        <v>0.76199074074074069</v>
      </c>
      <c r="G368">
        <v>20.5</v>
      </c>
      <c r="H368">
        <v>20.5</v>
      </c>
      <c r="I368" t="s">
        <v>20</v>
      </c>
      <c r="J368" t="s">
        <v>15</v>
      </c>
      <c r="K368" t="s">
        <v>16</v>
      </c>
      <c r="L368" t="s">
        <v>17</v>
      </c>
    </row>
    <row r="369" spans="1:12" x14ac:dyDescent="0.2">
      <c r="A369">
        <v>368</v>
      </c>
      <c r="B369" t="s">
        <v>162</v>
      </c>
      <c r="C369" t="s">
        <v>404</v>
      </c>
      <c r="D369" s="2">
        <v>1</v>
      </c>
      <c r="E369" s="1">
        <v>42274</v>
      </c>
      <c r="F369" s="3">
        <v>0.54289351851851853</v>
      </c>
      <c r="G369">
        <v>20.75</v>
      </c>
      <c r="H369">
        <v>20.75</v>
      </c>
      <c r="I369" t="s">
        <v>20</v>
      </c>
      <c r="J369" t="s">
        <v>21</v>
      </c>
      <c r="K369" t="s">
        <v>92</v>
      </c>
      <c r="L369" t="s">
        <v>93</v>
      </c>
    </row>
    <row r="370" spans="1:12" x14ac:dyDescent="0.2">
      <c r="A370">
        <v>369</v>
      </c>
      <c r="B370" t="s">
        <v>238</v>
      </c>
      <c r="C370" t="s">
        <v>514</v>
      </c>
      <c r="D370" s="2">
        <v>1</v>
      </c>
      <c r="E370" s="1">
        <v>42274</v>
      </c>
      <c r="F370" s="3">
        <v>0.55377314814814815</v>
      </c>
      <c r="G370">
        <v>20.25</v>
      </c>
      <c r="H370">
        <v>20.25</v>
      </c>
      <c r="I370" t="s">
        <v>20</v>
      </c>
      <c r="J370" t="s">
        <v>26</v>
      </c>
      <c r="K370" t="s">
        <v>56</v>
      </c>
      <c r="L370" t="s">
        <v>57</v>
      </c>
    </row>
    <row r="371" spans="1:12" x14ac:dyDescent="0.2">
      <c r="A371">
        <v>370</v>
      </c>
      <c r="B371" t="s">
        <v>138</v>
      </c>
      <c r="C371" t="s">
        <v>515</v>
      </c>
      <c r="D371" s="2">
        <v>1</v>
      </c>
      <c r="E371" s="1">
        <v>42275</v>
      </c>
      <c r="F371" s="3">
        <v>0.56694444444444447</v>
      </c>
      <c r="G371">
        <v>20.75</v>
      </c>
      <c r="H371">
        <v>20.75</v>
      </c>
      <c r="I371" t="s">
        <v>20</v>
      </c>
      <c r="J371" t="s">
        <v>21</v>
      </c>
      <c r="K371" t="s">
        <v>140</v>
      </c>
      <c r="L371" t="s">
        <v>141</v>
      </c>
    </row>
    <row r="372" spans="1:12" x14ac:dyDescent="0.2">
      <c r="A372">
        <v>371</v>
      </c>
      <c r="B372" t="s">
        <v>175</v>
      </c>
      <c r="C372" t="s">
        <v>516</v>
      </c>
      <c r="D372" s="2">
        <v>1</v>
      </c>
      <c r="E372" s="1">
        <v>42276</v>
      </c>
      <c r="F372" s="3">
        <v>0.52695601851851848</v>
      </c>
      <c r="G372">
        <v>12</v>
      </c>
      <c r="H372">
        <v>12</v>
      </c>
      <c r="I372" t="s">
        <v>45</v>
      </c>
      <c r="J372" t="s">
        <v>15</v>
      </c>
      <c r="K372" t="s">
        <v>16</v>
      </c>
      <c r="L372" t="s">
        <v>17</v>
      </c>
    </row>
    <row r="373" spans="1:12" x14ac:dyDescent="0.2">
      <c r="A373">
        <v>372</v>
      </c>
      <c r="B373" t="s">
        <v>94</v>
      </c>
      <c r="C373" t="s">
        <v>517</v>
      </c>
      <c r="D373" s="2">
        <v>1</v>
      </c>
      <c r="E373" s="1">
        <v>42276</v>
      </c>
      <c r="F373" s="3">
        <v>0.57437499999999997</v>
      </c>
      <c r="G373">
        <v>9.75</v>
      </c>
      <c r="H373">
        <v>9.75</v>
      </c>
      <c r="I373" t="s">
        <v>45</v>
      </c>
      <c r="J373" t="s">
        <v>15</v>
      </c>
      <c r="K373" t="s">
        <v>41</v>
      </c>
      <c r="L373" t="s">
        <v>42</v>
      </c>
    </row>
    <row r="374" spans="1:12" x14ac:dyDescent="0.2">
      <c r="A374">
        <v>373</v>
      </c>
      <c r="B374" t="s">
        <v>155</v>
      </c>
      <c r="C374" t="s">
        <v>518</v>
      </c>
      <c r="D374" s="2">
        <v>1</v>
      </c>
      <c r="E374" s="1">
        <v>42276</v>
      </c>
      <c r="F374" s="3">
        <v>0.58243055555555556</v>
      </c>
      <c r="G374">
        <v>16.5</v>
      </c>
      <c r="H374">
        <v>16.5</v>
      </c>
      <c r="I374" t="s">
        <v>14</v>
      </c>
      <c r="J374" t="s">
        <v>31</v>
      </c>
      <c r="K374" t="s">
        <v>46</v>
      </c>
      <c r="L374" t="s">
        <v>47</v>
      </c>
    </row>
    <row r="375" spans="1:12" x14ac:dyDescent="0.2">
      <c r="A375">
        <v>374</v>
      </c>
      <c r="B375" t="s">
        <v>29</v>
      </c>
      <c r="C375" t="s">
        <v>519</v>
      </c>
      <c r="D375" s="2">
        <v>1</v>
      </c>
      <c r="E375" s="1">
        <v>42276</v>
      </c>
      <c r="F375" s="3">
        <v>0.65659722222222228</v>
      </c>
      <c r="G375">
        <v>20.75</v>
      </c>
      <c r="H375">
        <v>20.75</v>
      </c>
      <c r="I375" t="s">
        <v>20</v>
      </c>
      <c r="J375" t="s">
        <v>31</v>
      </c>
      <c r="K375" t="s">
        <v>32</v>
      </c>
      <c r="L375" t="s">
        <v>33</v>
      </c>
    </row>
    <row r="376" spans="1:12" x14ac:dyDescent="0.2">
      <c r="A376">
        <v>375</v>
      </c>
      <c r="B376" t="s">
        <v>411</v>
      </c>
      <c r="C376" t="s">
        <v>520</v>
      </c>
      <c r="D376" s="2">
        <v>1</v>
      </c>
      <c r="E376" s="1">
        <v>42277</v>
      </c>
      <c r="F376" s="3">
        <v>0.79863425925925924</v>
      </c>
      <c r="G376">
        <v>11</v>
      </c>
      <c r="H376">
        <v>11</v>
      </c>
      <c r="I376" t="s">
        <v>45</v>
      </c>
      <c r="J376" t="s">
        <v>15</v>
      </c>
      <c r="K376" t="s">
        <v>368</v>
      </c>
      <c r="L376" t="s">
        <v>369</v>
      </c>
    </row>
    <row r="377" spans="1:12" x14ac:dyDescent="0.2">
      <c r="A377">
        <v>376</v>
      </c>
      <c r="B377" t="s">
        <v>405</v>
      </c>
      <c r="C377" t="s">
        <v>521</v>
      </c>
      <c r="D377" s="2">
        <v>1</v>
      </c>
      <c r="E377" s="1">
        <v>42278</v>
      </c>
      <c r="F377" s="3">
        <v>0.51894675925925926</v>
      </c>
      <c r="G377">
        <v>20.5</v>
      </c>
      <c r="H377">
        <v>20.5</v>
      </c>
      <c r="I377" t="s">
        <v>20</v>
      </c>
      <c r="J377" t="s">
        <v>15</v>
      </c>
      <c r="K377" t="s">
        <v>16</v>
      </c>
      <c r="L377" t="s">
        <v>17</v>
      </c>
    </row>
    <row r="378" spans="1:12" x14ac:dyDescent="0.2">
      <c r="A378">
        <v>377</v>
      </c>
      <c r="B378" t="s">
        <v>182</v>
      </c>
      <c r="C378" t="s">
        <v>522</v>
      </c>
      <c r="D378" s="2">
        <v>1</v>
      </c>
      <c r="E378" s="1">
        <v>42278</v>
      </c>
      <c r="F378" s="3">
        <v>0.63788194444444446</v>
      </c>
      <c r="G378">
        <v>12</v>
      </c>
      <c r="H378">
        <v>12</v>
      </c>
      <c r="I378" t="s">
        <v>45</v>
      </c>
      <c r="J378" t="s">
        <v>15</v>
      </c>
      <c r="K378" t="s">
        <v>184</v>
      </c>
      <c r="L378" t="s">
        <v>185</v>
      </c>
    </row>
    <row r="379" spans="1:12" x14ac:dyDescent="0.2">
      <c r="A379">
        <v>378</v>
      </c>
      <c r="B379" t="s">
        <v>86</v>
      </c>
      <c r="C379" t="s">
        <v>523</v>
      </c>
      <c r="D379" s="2">
        <v>1</v>
      </c>
      <c r="E379" s="1">
        <v>42278</v>
      </c>
      <c r="F379" s="3">
        <v>0.81263888888888891</v>
      </c>
      <c r="G379">
        <v>16.5</v>
      </c>
      <c r="H379">
        <v>16.5</v>
      </c>
      <c r="I379" t="s">
        <v>14</v>
      </c>
      <c r="J379" t="s">
        <v>31</v>
      </c>
      <c r="K379" t="s">
        <v>88</v>
      </c>
      <c r="L379" t="s">
        <v>89</v>
      </c>
    </row>
    <row r="380" spans="1:12" x14ac:dyDescent="0.2">
      <c r="A380">
        <v>379</v>
      </c>
      <c r="B380" t="s">
        <v>58</v>
      </c>
      <c r="C380" t="s">
        <v>524</v>
      </c>
      <c r="D380" s="2">
        <v>1</v>
      </c>
      <c r="E380" s="1">
        <v>42278</v>
      </c>
      <c r="F380" s="3">
        <v>0.87516203703703699</v>
      </c>
      <c r="G380">
        <v>17.95</v>
      </c>
      <c r="H380">
        <v>17.95</v>
      </c>
      <c r="I380" t="s">
        <v>20</v>
      </c>
      <c r="J380" t="s">
        <v>26</v>
      </c>
      <c r="K380" t="s">
        <v>60</v>
      </c>
      <c r="L380" t="s">
        <v>61</v>
      </c>
    </row>
    <row r="381" spans="1:12" x14ac:dyDescent="0.2">
      <c r="A381">
        <v>380</v>
      </c>
      <c r="B381" t="s">
        <v>498</v>
      </c>
      <c r="C381" t="s">
        <v>525</v>
      </c>
      <c r="D381" s="2">
        <v>1</v>
      </c>
      <c r="E381" s="1">
        <v>42279</v>
      </c>
      <c r="F381" s="3">
        <v>0.55971064814814819</v>
      </c>
      <c r="G381">
        <v>12.75</v>
      </c>
      <c r="H381">
        <v>12.75</v>
      </c>
      <c r="I381" t="s">
        <v>45</v>
      </c>
      <c r="J381" t="s">
        <v>21</v>
      </c>
      <c r="K381" t="s">
        <v>140</v>
      </c>
      <c r="L381" t="s">
        <v>141</v>
      </c>
    </row>
    <row r="382" spans="1:12" x14ac:dyDescent="0.2">
      <c r="A382">
        <v>381</v>
      </c>
      <c r="B382" t="s">
        <v>39</v>
      </c>
      <c r="C382" t="s">
        <v>526</v>
      </c>
      <c r="D382" s="2">
        <v>1</v>
      </c>
      <c r="E382" s="1">
        <v>42279</v>
      </c>
      <c r="F382" s="3">
        <v>0.79443287037037036</v>
      </c>
      <c r="G382">
        <v>15.25</v>
      </c>
      <c r="H382">
        <v>15.25</v>
      </c>
      <c r="I382" t="s">
        <v>20</v>
      </c>
      <c r="J382" t="s">
        <v>15</v>
      </c>
      <c r="K382" t="s">
        <v>41</v>
      </c>
      <c r="L382" t="s">
        <v>42</v>
      </c>
    </row>
    <row r="383" spans="1:12" x14ac:dyDescent="0.2">
      <c r="A383">
        <v>382</v>
      </c>
      <c r="B383" t="s">
        <v>94</v>
      </c>
      <c r="C383" t="s">
        <v>527</v>
      </c>
      <c r="D383" s="2">
        <v>1</v>
      </c>
      <c r="E383" s="1">
        <v>42280</v>
      </c>
      <c r="F383" s="3">
        <v>0.67178240740740736</v>
      </c>
      <c r="G383">
        <v>9.75</v>
      </c>
      <c r="H383">
        <v>9.75</v>
      </c>
      <c r="I383" t="s">
        <v>45</v>
      </c>
      <c r="J383" t="s">
        <v>15</v>
      </c>
      <c r="K383" t="s">
        <v>41</v>
      </c>
      <c r="L383" t="s">
        <v>42</v>
      </c>
    </row>
    <row r="384" spans="1:12" x14ac:dyDescent="0.2">
      <c r="A384">
        <v>383</v>
      </c>
      <c r="B384" t="s">
        <v>12</v>
      </c>
      <c r="C384" t="s">
        <v>528</v>
      </c>
      <c r="D384" s="2">
        <v>1</v>
      </c>
      <c r="E384" s="1">
        <v>42280</v>
      </c>
      <c r="F384" s="3">
        <v>0.7650231481481482</v>
      </c>
      <c r="G384">
        <v>16</v>
      </c>
      <c r="H384">
        <v>16</v>
      </c>
      <c r="I384" t="s">
        <v>14</v>
      </c>
      <c r="J384" t="s">
        <v>15</v>
      </c>
      <c r="K384" t="s">
        <v>16</v>
      </c>
      <c r="L384" t="s">
        <v>17</v>
      </c>
    </row>
    <row r="385" spans="1:12" x14ac:dyDescent="0.2">
      <c r="A385">
        <v>384</v>
      </c>
      <c r="B385" t="s">
        <v>58</v>
      </c>
      <c r="C385" t="s">
        <v>529</v>
      </c>
      <c r="D385" s="2">
        <v>2</v>
      </c>
      <c r="E385" s="1">
        <v>42281</v>
      </c>
      <c r="F385" s="3">
        <v>0.58589120370370373</v>
      </c>
      <c r="G385">
        <v>17.95</v>
      </c>
      <c r="H385">
        <v>35.9</v>
      </c>
      <c r="I385" t="s">
        <v>20</v>
      </c>
      <c r="J385" t="s">
        <v>26</v>
      </c>
      <c r="K385" t="s">
        <v>60</v>
      </c>
      <c r="L385" t="s">
        <v>61</v>
      </c>
    </row>
    <row r="386" spans="1:12" x14ac:dyDescent="0.2">
      <c r="A386">
        <v>385</v>
      </c>
      <c r="B386" t="s">
        <v>18</v>
      </c>
      <c r="C386" t="s">
        <v>530</v>
      </c>
      <c r="D386" s="2">
        <v>1</v>
      </c>
      <c r="E386" s="1">
        <v>42281</v>
      </c>
      <c r="F386" s="3">
        <v>0.59458333333333335</v>
      </c>
      <c r="G386">
        <v>20.75</v>
      </c>
      <c r="H386">
        <v>20.75</v>
      </c>
      <c r="I386" t="s">
        <v>20</v>
      </c>
      <c r="J386" t="s">
        <v>21</v>
      </c>
      <c r="K386" t="s">
        <v>22</v>
      </c>
      <c r="L386" t="s">
        <v>23</v>
      </c>
    </row>
    <row r="387" spans="1:12" x14ac:dyDescent="0.2">
      <c r="A387">
        <v>386</v>
      </c>
      <c r="B387" t="s">
        <v>52</v>
      </c>
      <c r="C387" t="s">
        <v>531</v>
      </c>
      <c r="D387" s="2">
        <v>1</v>
      </c>
      <c r="E387" s="1">
        <v>42281</v>
      </c>
      <c r="F387" s="3">
        <v>0.74512731481481487</v>
      </c>
      <c r="G387">
        <v>12.5</v>
      </c>
      <c r="H387">
        <v>12.5</v>
      </c>
      <c r="I387" t="s">
        <v>45</v>
      </c>
      <c r="J387" t="s">
        <v>31</v>
      </c>
      <c r="K387" t="s">
        <v>32</v>
      </c>
      <c r="L387" t="s">
        <v>33</v>
      </c>
    </row>
    <row r="388" spans="1:12" x14ac:dyDescent="0.2">
      <c r="A388">
        <v>387</v>
      </c>
      <c r="B388" t="s">
        <v>212</v>
      </c>
      <c r="C388" t="s">
        <v>532</v>
      </c>
      <c r="D388" s="2">
        <v>1</v>
      </c>
      <c r="E388" s="1">
        <v>42284</v>
      </c>
      <c r="F388" s="3">
        <v>0.53081018518518519</v>
      </c>
      <c r="G388">
        <v>12.5</v>
      </c>
      <c r="H388">
        <v>12.5</v>
      </c>
      <c r="I388" t="s">
        <v>45</v>
      </c>
      <c r="J388" t="s">
        <v>31</v>
      </c>
      <c r="K388" t="s">
        <v>50</v>
      </c>
      <c r="L388" t="s">
        <v>51</v>
      </c>
    </row>
    <row r="389" spans="1:12" x14ac:dyDescent="0.2">
      <c r="A389">
        <v>388</v>
      </c>
      <c r="B389" t="s">
        <v>203</v>
      </c>
      <c r="C389" t="s">
        <v>533</v>
      </c>
      <c r="D389" s="2">
        <v>1</v>
      </c>
      <c r="E389" s="1">
        <v>42285</v>
      </c>
      <c r="F389" s="3">
        <v>0.57097222222222221</v>
      </c>
      <c r="G389">
        <v>16.5</v>
      </c>
      <c r="H389">
        <v>16.5</v>
      </c>
      <c r="I389" t="s">
        <v>14</v>
      </c>
      <c r="J389" t="s">
        <v>31</v>
      </c>
      <c r="K389" t="s">
        <v>68</v>
      </c>
      <c r="L389" t="s">
        <v>69</v>
      </c>
    </row>
    <row r="390" spans="1:12" x14ac:dyDescent="0.2">
      <c r="A390">
        <v>389</v>
      </c>
      <c r="B390" t="s">
        <v>162</v>
      </c>
      <c r="C390" t="s">
        <v>534</v>
      </c>
      <c r="D390" s="2">
        <v>1</v>
      </c>
      <c r="E390" s="1">
        <v>42285</v>
      </c>
      <c r="F390" s="3">
        <v>0.78057870370370375</v>
      </c>
      <c r="G390">
        <v>20.75</v>
      </c>
      <c r="H390">
        <v>20.75</v>
      </c>
      <c r="I390" t="s">
        <v>20</v>
      </c>
      <c r="J390" t="s">
        <v>21</v>
      </c>
      <c r="K390" t="s">
        <v>92</v>
      </c>
      <c r="L390" t="s">
        <v>93</v>
      </c>
    </row>
    <row r="391" spans="1:12" x14ac:dyDescent="0.2">
      <c r="A391">
        <v>390</v>
      </c>
      <c r="B391" t="s">
        <v>292</v>
      </c>
      <c r="C391" t="s">
        <v>535</v>
      </c>
      <c r="D391" s="2">
        <v>1</v>
      </c>
      <c r="E391" s="1">
        <v>42286</v>
      </c>
      <c r="F391" s="3">
        <v>0.62358796296296293</v>
      </c>
      <c r="G391">
        <v>12.75</v>
      </c>
      <c r="H391">
        <v>12.75</v>
      </c>
      <c r="I391" t="s">
        <v>45</v>
      </c>
      <c r="J391" t="s">
        <v>21</v>
      </c>
      <c r="K391" t="s">
        <v>22</v>
      </c>
      <c r="L391" t="s">
        <v>23</v>
      </c>
    </row>
    <row r="392" spans="1:12" x14ac:dyDescent="0.2">
      <c r="A392">
        <v>391</v>
      </c>
      <c r="B392" t="s">
        <v>178</v>
      </c>
      <c r="C392" t="s">
        <v>536</v>
      </c>
      <c r="D392" s="2">
        <v>1</v>
      </c>
      <c r="E392" s="1">
        <v>42286</v>
      </c>
      <c r="F392" s="3">
        <v>0.73450231481481476</v>
      </c>
      <c r="G392">
        <v>20.5</v>
      </c>
      <c r="H392">
        <v>20.5</v>
      </c>
      <c r="I392" t="s">
        <v>20</v>
      </c>
      <c r="J392" t="s">
        <v>15</v>
      </c>
      <c r="K392" t="s">
        <v>180</v>
      </c>
      <c r="L392" t="s">
        <v>181</v>
      </c>
    </row>
    <row r="393" spans="1:12" x14ac:dyDescent="0.2">
      <c r="A393">
        <v>392</v>
      </c>
      <c r="B393" t="s">
        <v>111</v>
      </c>
      <c r="C393" t="s">
        <v>502</v>
      </c>
      <c r="D393" s="2">
        <v>1</v>
      </c>
      <c r="E393" s="1">
        <v>42287</v>
      </c>
      <c r="F393" s="3">
        <v>0.48413194444444446</v>
      </c>
      <c r="G393">
        <v>20.75</v>
      </c>
      <c r="H393">
        <v>20.75</v>
      </c>
      <c r="I393" t="s">
        <v>20</v>
      </c>
      <c r="J393" t="s">
        <v>21</v>
      </c>
      <c r="K393" t="s">
        <v>81</v>
      </c>
      <c r="L393" t="s">
        <v>82</v>
      </c>
    </row>
    <row r="394" spans="1:12" x14ac:dyDescent="0.2">
      <c r="A394">
        <v>393</v>
      </c>
      <c r="B394" t="s">
        <v>307</v>
      </c>
      <c r="C394" t="s">
        <v>537</v>
      </c>
      <c r="D394" s="2">
        <v>1</v>
      </c>
      <c r="E394" s="1">
        <v>42290</v>
      </c>
      <c r="F394" s="3">
        <v>0.47657407407407409</v>
      </c>
      <c r="G394">
        <v>20.25</v>
      </c>
      <c r="H394">
        <v>20.25</v>
      </c>
      <c r="I394" t="s">
        <v>20</v>
      </c>
      <c r="J394" t="s">
        <v>26</v>
      </c>
      <c r="K394" t="s">
        <v>266</v>
      </c>
      <c r="L394" t="s">
        <v>267</v>
      </c>
    </row>
    <row r="395" spans="1:12" x14ac:dyDescent="0.2">
      <c r="A395">
        <v>394</v>
      </c>
      <c r="B395" t="s">
        <v>153</v>
      </c>
      <c r="C395" t="s">
        <v>538</v>
      </c>
      <c r="D395" s="2">
        <v>1</v>
      </c>
      <c r="E395" s="1">
        <v>42290</v>
      </c>
      <c r="F395" s="3">
        <v>0.64156250000000004</v>
      </c>
      <c r="G395">
        <v>16.25</v>
      </c>
      <c r="H395">
        <v>16.25</v>
      </c>
      <c r="I395" t="s">
        <v>14</v>
      </c>
      <c r="J395" t="s">
        <v>31</v>
      </c>
      <c r="K395" t="s">
        <v>76</v>
      </c>
      <c r="L395" t="s">
        <v>77</v>
      </c>
    </row>
    <row r="396" spans="1:12" x14ac:dyDescent="0.2">
      <c r="A396">
        <v>395</v>
      </c>
      <c r="B396" t="s">
        <v>195</v>
      </c>
      <c r="C396" t="s">
        <v>539</v>
      </c>
      <c r="D396" s="2">
        <v>1</v>
      </c>
      <c r="E396" s="1">
        <v>42291</v>
      </c>
      <c r="F396" s="3">
        <v>0.51223379629629628</v>
      </c>
      <c r="G396">
        <v>12</v>
      </c>
      <c r="H396">
        <v>12</v>
      </c>
      <c r="I396" t="s">
        <v>45</v>
      </c>
      <c r="J396" t="s">
        <v>26</v>
      </c>
      <c r="K396" t="s">
        <v>197</v>
      </c>
      <c r="L396" t="s">
        <v>198</v>
      </c>
    </row>
    <row r="397" spans="1:12" x14ac:dyDescent="0.2">
      <c r="A397">
        <v>396</v>
      </c>
      <c r="B397" t="s">
        <v>296</v>
      </c>
      <c r="C397" t="s">
        <v>540</v>
      </c>
      <c r="D397" s="2">
        <v>1</v>
      </c>
      <c r="E397" s="1">
        <v>42291</v>
      </c>
      <c r="F397" s="3">
        <v>0.75633101851851847</v>
      </c>
      <c r="G397">
        <v>16.5</v>
      </c>
      <c r="H397">
        <v>16.5</v>
      </c>
      <c r="I397" t="s">
        <v>14</v>
      </c>
      <c r="J397" t="s">
        <v>31</v>
      </c>
      <c r="K397" t="s">
        <v>32</v>
      </c>
      <c r="L397" t="s">
        <v>33</v>
      </c>
    </row>
    <row r="398" spans="1:12" x14ac:dyDescent="0.2">
      <c r="A398">
        <v>397</v>
      </c>
      <c r="B398" t="s">
        <v>29</v>
      </c>
      <c r="C398" t="s">
        <v>541</v>
      </c>
      <c r="D398" s="2">
        <v>1</v>
      </c>
      <c r="E398" s="1">
        <v>42292</v>
      </c>
      <c r="F398" s="3">
        <v>0.55797453703703703</v>
      </c>
      <c r="G398">
        <v>20.75</v>
      </c>
      <c r="H398">
        <v>20.75</v>
      </c>
      <c r="I398" t="s">
        <v>20</v>
      </c>
      <c r="J398" t="s">
        <v>31</v>
      </c>
      <c r="K398" t="s">
        <v>32</v>
      </c>
      <c r="L398" t="s">
        <v>33</v>
      </c>
    </row>
    <row r="399" spans="1:12" x14ac:dyDescent="0.2">
      <c r="A399">
        <v>398</v>
      </c>
      <c r="B399" t="s">
        <v>162</v>
      </c>
      <c r="C399" t="s">
        <v>542</v>
      </c>
      <c r="D399" s="2">
        <v>1</v>
      </c>
      <c r="E399" s="1">
        <v>42292</v>
      </c>
      <c r="F399" s="3">
        <v>0.55797453703703703</v>
      </c>
      <c r="G399">
        <v>20.75</v>
      </c>
      <c r="H399">
        <v>20.75</v>
      </c>
      <c r="I399" t="s">
        <v>20</v>
      </c>
      <c r="J399" t="s">
        <v>21</v>
      </c>
      <c r="K399" t="s">
        <v>92</v>
      </c>
      <c r="L399" t="s">
        <v>93</v>
      </c>
    </row>
    <row r="400" spans="1:12" x14ac:dyDescent="0.2">
      <c r="A400">
        <v>399</v>
      </c>
      <c r="B400" t="s">
        <v>58</v>
      </c>
      <c r="C400" t="s">
        <v>543</v>
      </c>
      <c r="D400" s="2">
        <v>1</v>
      </c>
      <c r="E400" s="1">
        <v>42292</v>
      </c>
      <c r="F400" s="3">
        <v>0.84521990740740738</v>
      </c>
      <c r="G400">
        <v>17.95</v>
      </c>
      <c r="H400">
        <v>17.95</v>
      </c>
      <c r="I400" t="s">
        <v>20</v>
      </c>
      <c r="J400" t="s">
        <v>26</v>
      </c>
      <c r="K400" t="s">
        <v>60</v>
      </c>
      <c r="L400" t="s">
        <v>61</v>
      </c>
    </row>
    <row r="401" spans="1:12" x14ac:dyDescent="0.2">
      <c r="A401">
        <v>400</v>
      </c>
      <c r="B401" t="s">
        <v>135</v>
      </c>
      <c r="C401" t="s">
        <v>544</v>
      </c>
      <c r="D401" s="2">
        <v>1</v>
      </c>
      <c r="E401" s="1">
        <v>42293</v>
      </c>
      <c r="F401" s="3">
        <v>0.81879629629629624</v>
      </c>
      <c r="G401">
        <v>20.5</v>
      </c>
      <c r="H401">
        <v>20.5</v>
      </c>
      <c r="I401" t="s">
        <v>20</v>
      </c>
      <c r="J401" t="s">
        <v>15</v>
      </c>
      <c r="K401" t="s">
        <v>37</v>
      </c>
      <c r="L401" t="s">
        <v>38</v>
      </c>
    </row>
    <row r="402" spans="1:12" x14ac:dyDescent="0.2">
      <c r="A402">
        <v>401</v>
      </c>
      <c r="B402" t="s">
        <v>426</v>
      </c>
      <c r="C402" t="s">
        <v>545</v>
      </c>
      <c r="D402" s="2">
        <v>1</v>
      </c>
      <c r="E402" s="1">
        <v>42294</v>
      </c>
      <c r="F402" s="3">
        <v>0.54703703703703699</v>
      </c>
      <c r="G402">
        <v>20.5</v>
      </c>
      <c r="H402">
        <v>20.5</v>
      </c>
      <c r="I402" t="s">
        <v>20</v>
      </c>
      <c r="J402" t="s">
        <v>15</v>
      </c>
      <c r="K402" t="s">
        <v>184</v>
      </c>
      <c r="L402" t="s">
        <v>185</v>
      </c>
    </row>
    <row r="403" spans="1:12" x14ac:dyDescent="0.2">
      <c r="A403">
        <v>402</v>
      </c>
      <c r="B403" t="s">
        <v>175</v>
      </c>
      <c r="C403" t="s">
        <v>546</v>
      </c>
      <c r="D403" s="2">
        <v>1</v>
      </c>
      <c r="E403" s="1">
        <v>42295</v>
      </c>
      <c r="F403" s="3">
        <v>0.843287037037037</v>
      </c>
      <c r="G403">
        <v>12</v>
      </c>
      <c r="H403">
        <v>12</v>
      </c>
      <c r="I403" t="s">
        <v>45</v>
      </c>
      <c r="J403" t="s">
        <v>15</v>
      </c>
      <c r="K403" t="s">
        <v>16</v>
      </c>
      <c r="L403" t="s">
        <v>17</v>
      </c>
    </row>
    <row r="404" spans="1:12" x14ac:dyDescent="0.2">
      <c r="A404">
        <v>403</v>
      </c>
      <c r="B404" t="s">
        <v>270</v>
      </c>
      <c r="C404" t="s">
        <v>547</v>
      </c>
      <c r="D404" s="2">
        <v>1</v>
      </c>
      <c r="E404" s="1">
        <v>42297</v>
      </c>
      <c r="F404" s="3">
        <v>0.56393518518518515</v>
      </c>
      <c r="G404">
        <v>12.5</v>
      </c>
      <c r="H404">
        <v>12.5</v>
      </c>
      <c r="I404" t="s">
        <v>14</v>
      </c>
      <c r="J404" t="s">
        <v>15</v>
      </c>
      <c r="K404" t="s">
        <v>41</v>
      </c>
      <c r="L404" t="s">
        <v>42</v>
      </c>
    </row>
    <row r="405" spans="1:12" x14ac:dyDescent="0.2">
      <c r="A405">
        <v>404</v>
      </c>
      <c r="B405" t="s">
        <v>270</v>
      </c>
      <c r="C405" t="s">
        <v>548</v>
      </c>
      <c r="D405" s="2">
        <v>1</v>
      </c>
      <c r="E405" s="1">
        <v>42297</v>
      </c>
      <c r="F405" s="3">
        <v>0.73241898148148143</v>
      </c>
      <c r="G405">
        <v>12.5</v>
      </c>
      <c r="H405">
        <v>12.5</v>
      </c>
      <c r="I405" t="s">
        <v>14</v>
      </c>
      <c r="J405" t="s">
        <v>15</v>
      </c>
      <c r="K405" t="s">
        <v>41</v>
      </c>
      <c r="L405" t="s">
        <v>42</v>
      </c>
    </row>
    <row r="406" spans="1:12" x14ac:dyDescent="0.2">
      <c r="A406">
        <v>405</v>
      </c>
      <c r="B406" t="s">
        <v>164</v>
      </c>
      <c r="C406" t="s">
        <v>410</v>
      </c>
      <c r="D406" s="2">
        <v>1</v>
      </c>
      <c r="E406" s="1">
        <v>42298</v>
      </c>
      <c r="F406" s="3">
        <v>0.56388888888888888</v>
      </c>
      <c r="G406">
        <v>12.5</v>
      </c>
      <c r="H406">
        <v>12.5</v>
      </c>
      <c r="I406" t="s">
        <v>45</v>
      </c>
      <c r="J406" t="s">
        <v>26</v>
      </c>
      <c r="K406" t="s">
        <v>166</v>
      </c>
      <c r="L406" t="s">
        <v>167</v>
      </c>
    </row>
    <row r="407" spans="1:12" x14ac:dyDescent="0.2">
      <c r="A407">
        <v>406</v>
      </c>
      <c r="B407" t="s">
        <v>439</v>
      </c>
      <c r="C407" t="s">
        <v>549</v>
      </c>
      <c r="D407" s="2">
        <v>1</v>
      </c>
      <c r="E407" s="1">
        <v>42299</v>
      </c>
      <c r="F407" s="3">
        <v>0.77165509259259257</v>
      </c>
      <c r="G407">
        <v>12</v>
      </c>
      <c r="H407">
        <v>12</v>
      </c>
      <c r="I407" t="s">
        <v>45</v>
      </c>
      <c r="J407" t="s">
        <v>15</v>
      </c>
      <c r="K407" t="s">
        <v>180</v>
      </c>
      <c r="L407" t="s">
        <v>181</v>
      </c>
    </row>
    <row r="408" spans="1:12" x14ac:dyDescent="0.2">
      <c r="A408">
        <v>407</v>
      </c>
      <c r="B408" t="s">
        <v>498</v>
      </c>
      <c r="C408" t="s">
        <v>550</v>
      </c>
      <c r="D408" s="2">
        <v>1</v>
      </c>
      <c r="E408" s="1">
        <v>42299</v>
      </c>
      <c r="F408" s="3">
        <v>0.84052083333333338</v>
      </c>
      <c r="G408">
        <v>12.75</v>
      </c>
      <c r="H408">
        <v>12.75</v>
      </c>
      <c r="I408" t="s">
        <v>45</v>
      </c>
      <c r="J408" t="s">
        <v>21</v>
      </c>
      <c r="K408" t="s">
        <v>140</v>
      </c>
      <c r="L408" t="s">
        <v>141</v>
      </c>
    </row>
    <row r="409" spans="1:12" x14ac:dyDescent="0.2">
      <c r="A409">
        <v>408</v>
      </c>
      <c r="B409" t="s">
        <v>101</v>
      </c>
      <c r="C409" t="s">
        <v>551</v>
      </c>
      <c r="D409" s="2">
        <v>1</v>
      </c>
      <c r="E409" s="1">
        <v>42300</v>
      </c>
      <c r="F409" s="3">
        <v>0.81395833333333334</v>
      </c>
      <c r="G409">
        <v>20.75</v>
      </c>
      <c r="H409">
        <v>20.75</v>
      </c>
      <c r="I409" t="s">
        <v>20</v>
      </c>
      <c r="J409" t="s">
        <v>21</v>
      </c>
      <c r="K409" t="s">
        <v>103</v>
      </c>
      <c r="L409" t="s">
        <v>104</v>
      </c>
    </row>
    <row r="410" spans="1:12" x14ac:dyDescent="0.2">
      <c r="A410">
        <v>409</v>
      </c>
      <c r="B410" t="s">
        <v>175</v>
      </c>
      <c r="C410" t="s">
        <v>552</v>
      </c>
      <c r="D410" s="2">
        <v>1</v>
      </c>
      <c r="E410" s="1">
        <v>42300</v>
      </c>
      <c r="F410" s="3">
        <v>0.93402777777777779</v>
      </c>
      <c r="G410">
        <v>12</v>
      </c>
      <c r="H410">
        <v>12</v>
      </c>
      <c r="I410" t="s">
        <v>45</v>
      </c>
      <c r="J410" t="s">
        <v>15</v>
      </c>
      <c r="K410" t="s">
        <v>16</v>
      </c>
      <c r="L410" t="s">
        <v>17</v>
      </c>
    </row>
    <row r="411" spans="1:12" x14ac:dyDescent="0.2">
      <c r="A411">
        <v>410</v>
      </c>
      <c r="B411" t="s">
        <v>124</v>
      </c>
      <c r="C411" t="s">
        <v>553</v>
      </c>
      <c r="D411" s="2">
        <v>1</v>
      </c>
      <c r="E411" s="1">
        <v>42301</v>
      </c>
      <c r="F411" s="3">
        <v>0.7905092592592593</v>
      </c>
      <c r="G411">
        <v>12.5</v>
      </c>
      <c r="H411">
        <v>12.5</v>
      </c>
      <c r="I411" t="s">
        <v>45</v>
      </c>
      <c r="J411" t="s">
        <v>31</v>
      </c>
      <c r="K411" t="s">
        <v>88</v>
      </c>
      <c r="L411" t="s">
        <v>89</v>
      </c>
    </row>
    <row r="412" spans="1:12" x14ac:dyDescent="0.2">
      <c r="A412">
        <v>411</v>
      </c>
      <c r="B412" t="s">
        <v>244</v>
      </c>
      <c r="C412" t="s">
        <v>554</v>
      </c>
      <c r="D412" s="2">
        <v>1</v>
      </c>
      <c r="E412" s="1">
        <v>42301</v>
      </c>
      <c r="F412" s="3">
        <v>0.83138888888888884</v>
      </c>
      <c r="G412">
        <v>20.75</v>
      </c>
      <c r="H412">
        <v>20.75</v>
      </c>
      <c r="I412" t="s">
        <v>20</v>
      </c>
      <c r="J412" t="s">
        <v>21</v>
      </c>
      <c r="K412" t="s">
        <v>131</v>
      </c>
      <c r="L412" t="s">
        <v>132</v>
      </c>
    </row>
    <row r="413" spans="1:12" x14ac:dyDescent="0.2">
      <c r="A413">
        <v>412</v>
      </c>
      <c r="B413" t="s">
        <v>79</v>
      </c>
      <c r="C413" t="s">
        <v>555</v>
      </c>
      <c r="D413" s="2">
        <v>1</v>
      </c>
      <c r="E413" s="1">
        <v>42302</v>
      </c>
      <c r="F413" s="3">
        <v>0.69579861111111108</v>
      </c>
      <c r="G413">
        <v>12.75</v>
      </c>
      <c r="H413">
        <v>12.75</v>
      </c>
      <c r="I413" t="s">
        <v>45</v>
      </c>
      <c r="J413" t="s">
        <v>21</v>
      </c>
      <c r="K413" t="s">
        <v>81</v>
      </c>
      <c r="L413" t="s">
        <v>82</v>
      </c>
    </row>
    <row r="414" spans="1:12" x14ac:dyDescent="0.2">
      <c r="A414">
        <v>413</v>
      </c>
      <c r="B414" t="s">
        <v>471</v>
      </c>
      <c r="C414" t="s">
        <v>556</v>
      </c>
      <c r="D414" s="2">
        <v>1</v>
      </c>
      <c r="E414" s="1">
        <v>42302</v>
      </c>
      <c r="F414" s="3">
        <v>0.7028240740740741</v>
      </c>
      <c r="G414">
        <v>12.5</v>
      </c>
      <c r="H414">
        <v>12.5</v>
      </c>
      <c r="I414" t="s">
        <v>45</v>
      </c>
      <c r="J414" t="s">
        <v>31</v>
      </c>
      <c r="K414" t="s">
        <v>328</v>
      </c>
      <c r="L414" t="s">
        <v>329</v>
      </c>
    </row>
    <row r="415" spans="1:12" x14ac:dyDescent="0.2">
      <c r="A415">
        <v>414</v>
      </c>
      <c r="B415" t="s">
        <v>298</v>
      </c>
      <c r="C415" t="s">
        <v>80</v>
      </c>
      <c r="D415" s="2">
        <v>1</v>
      </c>
      <c r="E415" s="1">
        <v>42304</v>
      </c>
      <c r="F415" s="3">
        <v>0.90797453703703701</v>
      </c>
      <c r="G415">
        <v>16</v>
      </c>
      <c r="H415">
        <v>16</v>
      </c>
      <c r="I415" t="s">
        <v>14</v>
      </c>
      <c r="J415" t="s">
        <v>26</v>
      </c>
      <c r="K415" t="s">
        <v>98</v>
      </c>
      <c r="L415" t="s">
        <v>99</v>
      </c>
    </row>
    <row r="416" spans="1:12" x14ac:dyDescent="0.2">
      <c r="A416">
        <v>415</v>
      </c>
      <c r="B416" t="s">
        <v>366</v>
      </c>
      <c r="C416" t="s">
        <v>557</v>
      </c>
      <c r="D416" s="2">
        <v>1</v>
      </c>
      <c r="E416" s="1">
        <v>42305</v>
      </c>
      <c r="F416" s="3">
        <v>0.64322916666666663</v>
      </c>
      <c r="G416">
        <v>14.5</v>
      </c>
      <c r="H416">
        <v>14.5</v>
      </c>
      <c r="I416" t="s">
        <v>14</v>
      </c>
      <c r="J416" t="s">
        <v>15</v>
      </c>
      <c r="K416" t="s">
        <v>368</v>
      </c>
      <c r="L416" t="s">
        <v>369</v>
      </c>
    </row>
    <row r="417" spans="1:12" x14ac:dyDescent="0.2">
      <c r="A417">
        <v>416</v>
      </c>
      <c r="B417" t="s">
        <v>175</v>
      </c>
      <c r="C417" t="s">
        <v>558</v>
      </c>
      <c r="D417" s="2">
        <v>1</v>
      </c>
      <c r="E417" s="1">
        <v>42306</v>
      </c>
      <c r="F417" s="3">
        <v>0.75767361111111109</v>
      </c>
      <c r="G417">
        <v>12</v>
      </c>
      <c r="H417">
        <v>12</v>
      </c>
      <c r="I417" t="s">
        <v>45</v>
      </c>
      <c r="J417" t="s">
        <v>15</v>
      </c>
      <c r="K417" t="s">
        <v>16</v>
      </c>
      <c r="L417" t="s">
        <v>17</v>
      </c>
    </row>
    <row r="418" spans="1:12" x14ac:dyDescent="0.2">
      <c r="A418">
        <v>417</v>
      </c>
      <c r="B418" t="s">
        <v>58</v>
      </c>
      <c r="C418" t="s">
        <v>559</v>
      </c>
      <c r="D418" s="2">
        <v>1</v>
      </c>
      <c r="E418" s="1">
        <v>42307</v>
      </c>
      <c r="F418" s="3">
        <v>0.51033564814814814</v>
      </c>
      <c r="G418">
        <v>17.95</v>
      </c>
      <c r="H418">
        <v>17.95</v>
      </c>
      <c r="I418" t="s">
        <v>20</v>
      </c>
      <c r="J418" t="s">
        <v>26</v>
      </c>
      <c r="K418" t="s">
        <v>60</v>
      </c>
      <c r="L418" t="s">
        <v>61</v>
      </c>
    </row>
    <row r="419" spans="1:12" x14ac:dyDescent="0.2">
      <c r="A419">
        <v>418</v>
      </c>
      <c r="B419" t="s">
        <v>560</v>
      </c>
      <c r="C419" t="s">
        <v>561</v>
      </c>
      <c r="D419" s="2">
        <v>1</v>
      </c>
      <c r="E419" s="1">
        <v>42307</v>
      </c>
      <c r="F419" s="3">
        <v>0.57499999999999996</v>
      </c>
      <c r="G419">
        <v>17.5</v>
      </c>
      <c r="H419">
        <v>17.5</v>
      </c>
      <c r="I419" t="s">
        <v>20</v>
      </c>
      <c r="J419" t="s">
        <v>15</v>
      </c>
      <c r="K419" t="s">
        <v>368</v>
      </c>
      <c r="L419" t="s">
        <v>369</v>
      </c>
    </row>
    <row r="420" spans="1:12" x14ac:dyDescent="0.2">
      <c r="A420">
        <v>419</v>
      </c>
      <c r="B420" t="s">
        <v>411</v>
      </c>
      <c r="C420" t="s">
        <v>562</v>
      </c>
      <c r="D420" s="2">
        <v>1</v>
      </c>
      <c r="E420" s="1">
        <v>42307</v>
      </c>
      <c r="F420" s="3">
        <v>0.90435185185185185</v>
      </c>
      <c r="G420">
        <v>11</v>
      </c>
      <c r="H420">
        <v>11</v>
      </c>
      <c r="I420" t="s">
        <v>45</v>
      </c>
      <c r="J420" t="s">
        <v>15</v>
      </c>
      <c r="K420" t="s">
        <v>368</v>
      </c>
      <c r="L420" t="s">
        <v>369</v>
      </c>
    </row>
    <row r="421" spans="1:12" x14ac:dyDescent="0.2">
      <c r="A421">
        <v>420</v>
      </c>
      <c r="B421" t="s">
        <v>270</v>
      </c>
      <c r="C421" t="s">
        <v>257</v>
      </c>
      <c r="D421" s="2">
        <v>1</v>
      </c>
      <c r="E421" s="1">
        <v>42309</v>
      </c>
      <c r="F421" s="3">
        <v>0.6980439814814815</v>
      </c>
      <c r="G421">
        <v>12.5</v>
      </c>
      <c r="H421">
        <v>12.5</v>
      </c>
      <c r="I421" t="s">
        <v>14</v>
      </c>
      <c r="J421" t="s">
        <v>15</v>
      </c>
      <c r="K421" t="s">
        <v>41</v>
      </c>
      <c r="L421" t="s">
        <v>42</v>
      </c>
    </row>
    <row r="422" spans="1:12" x14ac:dyDescent="0.2">
      <c r="A422">
        <v>421</v>
      </c>
      <c r="B422" t="s">
        <v>405</v>
      </c>
      <c r="C422" t="s">
        <v>563</v>
      </c>
      <c r="D422" s="2">
        <v>1</v>
      </c>
      <c r="E422" s="1">
        <v>42310</v>
      </c>
      <c r="F422" s="3">
        <v>0.7540162037037037</v>
      </c>
      <c r="G422">
        <v>20.5</v>
      </c>
      <c r="H422">
        <v>20.5</v>
      </c>
      <c r="I422" t="s">
        <v>20</v>
      </c>
      <c r="J422" t="s">
        <v>15</v>
      </c>
      <c r="K422" t="s">
        <v>16</v>
      </c>
      <c r="L422" t="s">
        <v>17</v>
      </c>
    </row>
    <row r="423" spans="1:12" x14ac:dyDescent="0.2">
      <c r="A423">
        <v>422</v>
      </c>
      <c r="B423" t="s">
        <v>101</v>
      </c>
      <c r="C423" t="s">
        <v>564</v>
      </c>
      <c r="D423" s="2">
        <v>1</v>
      </c>
      <c r="E423" s="1">
        <v>42311</v>
      </c>
      <c r="F423" s="3">
        <v>0.61768518518518523</v>
      </c>
      <c r="G423">
        <v>20.75</v>
      </c>
      <c r="H423">
        <v>20.75</v>
      </c>
      <c r="I423" t="s">
        <v>20</v>
      </c>
      <c r="J423" t="s">
        <v>21</v>
      </c>
      <c r="K423" t="s">
        <v>103</v>
      </c>
      <c r="L423" t="s">
        <v>104</v>
      </c>
    </row>
    <row r="424" spans="1:12" x14ac:dyDescent="0.2">
      <c r="A424">
        <v>423</v>
      </c>
      <c r="B424" t="s">
        <v>129</v>
      </c>
      <c r="C424" t="s">
        <v>565</v>
      </c>
      <c r="D424" s="2">
        <v>1</v>
      </c>
      <c r="E424" s="1">
        <v>42314</v>
      </c>
      <c r="F424" s="3">
        <v>0.51906249999999998</v>
      </c>
      <c r="G424">
        <v>16.75</v>
      </c>
      <c r="H424">
        <v>16.75</v>
      </c>
      <c r="I424" t="s">
        <v>14</v>
      </c>
      <c r="J424" t="s">
        <v>21</v>
      </c>
      <c r="K424" t="s">
        <v>131</v>
      </c>
      <c r="L424" t="s">
        <v>132</v>
      </c>
    </row>
    <row r="425" spans="1:12" x14ac:dyDescent="0.2">
      <c r="A425">
        <v>424</v>
      </c>
      <c r="B425" t="s">
        <v>566</v>
      </c>
      <c r="C425" t="s">
        <v>567</v>
      </c>
      <c r="D425" s="2">
        <v>1</v>
      </c>
      <c r="E425" s="1">
        <v>42314</v>
      </c>
      <c r="F425" s="3">
        <v>0.68043981481481486</v>
      </c>
      <c r="G425">
        <v>12.75</v>
      </c>
      <c r="H425">
        <v>12.75</v>
      </c>
      <c r="I425" t="s">
        <v>45</v>
      </c>
      <c r="J425" t="s">
        <v>21</v>
      </c>
      <c r="K425" t="s">
        <v>131</v>
      </c>
      <c r="L425" t="s">
        <v>132</v>
      </c>
    </row>
    <row r="426" spans="1:12" x14ac:dyDescent="0.2">
      <c r="A426">
        <v>425</v>
      </c>
      <c r="B426" t="s">
        <v>101</v>
      </c>
      <c r="C426" t="s">
        <v>568</v>
      </c>
      <c r="D426" s="2">
        <v>1</v>
      </c>
      <c r="E426" s="1">
        <v>42314</v>
      </c>
      <c r="F426" s="3">
        <v>0.73512731481481486</v>
      </c>
      <c r="G426">
        <v>20.75</v>
      </c>
      <c r="H426">
        <v>20.75</v>
      </c>
      <c r="I426" t="s">
        <v>20</v>
      </c>
      <c r="J426" t="s">
        <v>21</v>
      </c>
      <c r="K426" t="s">
        <v>103</v>
      </c>
      <c r="L426" t="s">
        <v>104</v>
      </c>
    </row>
    <row r="427" spans="1:12" x14ac:dyDescent="0.2">
      <c r="A427">
        <v>426</v>
      </c>
      <c r="B427" t="s">
        <v>426</v>
      </c>
      <c r="C427" t="s">
        <v>569</v>
      </c>
      <c r="D427" s="2">
        <v>1</v>
      </c>
      <c r="E427" s="1">
        <v>42315</v>
      </c>
      <c r="F427" s="3">
        <v>0.69965277777777779</v>
      </c>
      <c r="G427">
        <v>20.5</v>
      </c>
      <c r="H427">
        <v>20.5</v>
      </c>
      <c r="I427" t="s">
        <v>20</v>
      </c>
      <c r="J427" t="s">
        <v>15</v>
      </c>
      <c r="K427" t="s">
        <v>184</v>
      </c>
      <c r="L427" t="s">
        <v>185</v>
      </c>
    </row>
    <row r="428" spans="1:12" x14ac:dyDescent="0.2">
      <c r="A428">
        <v>427</v>
      </c>
      <c r="B428" t="s">
        <v>96</v>
      </c>
      <c r="C428" t="s">
        <v>570</v>
      </c>
      <c r="D428" s="2">
        <v>1</v>
      </c>
      <c r="E428" s="1">
        <v>42315</v>
      </c>
      <c r="F428" s="3">
        <v>0.76401620370370371</v>
      </c>
      <c r="G428">
        <v>20.25</v>
      </c>
      <c r="H428">
        <v>20.25</v>
      </c>
      <c r="I428" t="s">
        <v>20</v>
      </c>
      <c r="J428" t="s">
        <v>26</v>
      </c>
      <c r="K428" t="s">
        <v>98</v>
      </c>
      <c r="L428" t="s">
        <v>99</v>
      </c>
    </row>
    <row r="429" spans="1:12" x14ac:dyDescent="0.2">
      <c r="A429">
        <v>428</v>
      </c>
      <c r="B429" t="s">
        <v>307</v>
      </c>
      <c r="C429" t="s">
        <v>571</v>
      </c>
      <c r="D429" s="2">
        <v>1</v>
      </c>
      <c r="E429" s="1">
        <v>42315</v>
      </c>
      <c r="F429" s="3">
        <v>0.76401620370370371</v>
      </c>
      <c r="G429">
        <v>20.25</v>
      </c>
      <c r="H429">
        <v>20.25</v>
      </c>
      <c r="I429" t="s">
        <v>20</v>
      </c>
      <c r="J429" t="s">
        <v>26</v>
      </c>
      <c r="K429" t="s">
        <v>266</v>
      </c>
      <c r="L429" t="s">
        <v>267</v>
      </c>
    </row>
    <row r="430" spans="1:12" x14ac:dyDescent="0.2">
      <c r="A430">
        <v>429</v>
      </c>
      <c r="B430" t="s">
        <v>58</v>
      </c>
      <c r="C430" t="s">
        <v>572</v>
      </c>
      <c r="D430" s="2">
        <v>1</v>
      </c>
      <c r="E430" s="1">
        <v>42315</v>
      </c>
      <c r="F430" s="3">
        <v>0.86462962962962964</v>
      </c>
      <c r="G430">
        <v>17.95</v>
      </c>
      <c r="H430">
        <v>17.95</v>
      </c>
      <c r="I430" t="s">
        <v>20</v>
      </c>
      <c r="J430" t="s">
        <v>26</v>
      </c>
      <c r="K430" t="s">
        <v>60</v>
      </c>
      <c r="L430" t="s">
        <v>61</v>
      </c>
    </row>
    <row r="431" spans="1:12" x14ac:dyDescent="0.2">
      <c r="A431">
        <v>430</v>
      </c>
      <c r="B431" t="s">
        <v>201</v>
      </c>
      <c r="C431" t="s">
        <v>573</v>
      </c>
      <c r="D431" s="2">
        <v>1</v>
      </c>
      <c r="E431" s="1">
        <v>42316</v>
      </c>
      <c r="F431" s="3">
        <v>0.65164351851851854</v>
      </c>
      <c r="G431">
        <v>16.5</v>
      </c>
      <c r="H431">
        <v>16.5</v>
      </c>
      <c r="I431" t="s">
        <v>14</v>
      </c>
      <c r="J431" t="s">
        <v>31</v>
      </c>
      <c r="K431" t="s">
        <v>50</v>
      </c>
      <c r="L431" t="s">
        <v>51</v>
      </c>
    </row>
    <row r="432" spans="1:12" x14ac:dyDescent="0.2">
      <c r="A432">
        <v>431</v>
      </c>
      <c r="B432" t="s">
        <v>96</v>
      </c>
      <c r="C432" t="s">
        <v>379</v>
      </c>
      <c r="D432" s="2">
        <v>1</v>
      </c>
      <c r="E432" s="1">
        <v>42316</v>
      </c>
      <c r="F432" s="3">
        <v>0.74883101851851852</v>
      </c>
      <c r="G432">
        <v>20.25</v>
      </c>
      <c r="H432">
        <v>20.25</v>
      </c>
      <c r="I432" t="s">
        <v>20</v>
      </c>
      <c r="J432" t="s">
        <v>26</v>
      </c>
      <c r="K432" t="s">
        <v>98</v>
      </c>
      <c r="L432" t="s">
        <v>99</v>
      </c>
    </row>
    <row r="433" spans="1:12" x14ac:dyDescent="0.2">
      <c r="A433">
        <v>432</v>
      </c>
      <c r="B433" t="s">
        <v>74</v>
      </c>
      <c r="C433" t="s">
        <v>574</v>
      </c>
      <c r="D433" s="2">
        <v>1</v>
      </c>
      <c r="E433" s="1">
        <v>42316</v>
      </c>
      <c r="F433" s="3">
        <v>0.78918981481481476</v>
      </c>
      <c r="G433">
        <v>12.25</v>
      </c>
      <c r="H433">
        <v>12.25</v>
      </c>
      <c r="I433" t="s">
        <v>45</v>
      </c>
      <c r="J433" t="s">
        <v>31</v>
      </c>
      <c r="K433" t="s">
        <v>76</v>
      </c>
      <c r="L433" t="s">
        <v>77</v>
      </c>
    </row>
    <row r="434" spans="1:12" x14ac:dyDescent="0.2">
      <c r="A434">
        <v>433</v>
      </c>
      <c r="B434" t="s">
        <v>178</v>
      </c>
      <c r="C434" t="s">
        <v>575</v>
      </c>
      <c r="D434" s="2">
        <v>1</v>
      </c>
      <c r="E434" s="1">
        <v>42317</v>
      </c>
      <c r="F434" s="3">
        <v>0.75008101851851849</v>
      </c>
      <c r="G434">
        <v>20.5</v>
      </c>
      <c r="H434">
        <v>20.5</v>
      </c>
      <c r="I434" t="s">
        <v>20</v>
      </c>
      <c r="J434" t="s">
        <v>15</v>
      </c>
      <c r="K434" t="s">
        <v>180</v>
      </c>
      <c r="L434" t="s">
        <v>181</v>
      </c>
    </row>
    <row r="435" spans="1:12" x14ac:dyDescent="0.2">
      <c r="A435">
        <v>434</v>
      </c>
      <c r="B435" t="s">
        <v>115</v>
      </c>
      <c r="C435" t="s">
        <v>576</v>
      </c>
      <c r="D435" s="2">
        <v>1</v>
      </c>
      <c r="E435" s="1">
        <v>42318</v>
      </c>
      <c r="F435" s="3">
        <v>0.63598379629629631</v>
      </c>
      <c r="G435">
        <v>12.5</v>
      </c>
      <c r="H435">
        <v>12.5</v>
      </c>
      <c r="I435" t="s">
        <v>45</v>
      </c>
      <c r="J435" t="s">
        <v>31</v>
      </c>
      <c r="K435" t="s">
        <v>68</v>
      </c>
      <c r="L435" t="s">
        <v>69</v>
      </c>
    </row>
    <row r="436" spans="1:12" x14ac:dyDescent="0.2">
      <c r="A436">
        <v>435</v>
      </c>
      <c r="B436" t="s">
        <v>577</v>
      </c>
      <c r="C436" t="s">
        <v>427</v>
      </c>
      <c r="D436" s="2">
        <v>1</v>
      </c>
      <c r="E436" s="1">
        <v>42320</v>
      </c>
      <c r="F436" s="3">
        <v>0.68638888888888894</v>
      </c>
      <c r="G436">
        <v>16.5</v>
      </c>
      <c r="H436">
        <v>16.5</v>
      </c>
      <c r="I436" t="s">
        <v>14</v>
      </c>
      <c r="J436" t="s">
        <v>31</v>
      </c>
      <c r="K436" t="s">
        <v>328</v>
      </c>
      <c r="L436" t="s">
        <v>329</v>
      </c>
    </row>
    <row r="437" spans="1:12" x14ac:dyDescent="0.2">
      <c r="A437">
        <v>436</v>
      </c>
      <c r="B437" t="s">
        <v>238</v>
      </c>
      <c r="C437" t="s">
        <v>578</v>
      </c>
      <c r="D437" s="2">
        <v>1</v>
      </c>
      <c r="E437" s="1">
        <v>42321</v>
      </c>
      <c r="F437" s="3">
        <v>0.78715277777777781</v>
      </c>
      <c r="G437">
        <v>20.25</v>
      </c>
      <c r="H437">
        <v>20.25</v>
      </c>
      <c r="I437" t="s">
        <v>20</v>
      </c>
      <c r="J437" t="s">
        <v>26</v>
      </c>
      <c r="K437" t="s">
        <v>56</v>
      </c>
      <c r="L437" t="s">
        <v>57</v>
      </c>
    </row>
    <row r="438" spans="1:12" x14ac:dyDescent="0.2">
      <c r="A438">
        <v>437</v>
      </c>
      <c r="B438" t="s">
        <v>254</v>
      </c>
      <c r="C438" t="s">
        <v>579</v>
      </c>
      <c r="D438" s="2">
        <v>1</v>
      </c>
      <c r="E438" s="1">
        <v>42322</v>
      </c>
      <c r="F438" s="3">
        <v>0.61541666666666661</v>
      </c>
      <c r="G438">
        <v>16</v>
      </c>
      <c r="H438">
        <v>16</v>
      </c>
      <c r="I438" t="s">
        <v>14</v>
      </c>
      <c r="J438" t="s">
        <v>15</v>
      </c>
      <c r="K438" t="s">
        <v>180</v>
      </c>
      <c r="L438" t="s">
        <v>181</v>
      </c>
    </row>
    <row r="439" spans="1:12" x14ac:dyDescent="0.2">
      <c r="A439">
        <v>438</v>
      </c>
      <c r="B439" t="s">
        <v>94</v>
      </c>
      <c r="C439" t="s">
        <v>580</v>
      </c>
      <c r="D439" s="2">
        <v>1</v>
      </c>
      <c r="E439" s="1">
        <v>42323</v>
      </c>
      <c r="F439" s="3">
        <v>0.50931712962962961</v>
      </c>
      <c r="G439">
        <v>9.75</v>
      </c>
      <c r="H439">
        <v>9.75</v>
      </c>
      <c r="I439" t="s">
        <v>45</v>
      </c>
      <c r="J439" t="s">
        <v>15</v>
      </c>
      <c r="K439" t="s">
        <v>41</v>
      </c>
      <c r="L439" t="s">
        <v>42</v>
      </c>
    </row>
    <row r="440" spans="1:12" x14ac:dyDescent="0.2">
      <c r="A440">
        <v>439</v>
      </c>
      <c r="B440" t="s">
        <v>175</v>
      </c>
      <c r="C440" t="s">
        <v>581</v>
      </c>
      <c r="D440" s="2">
        <v>1</v>
      </c>
      <c r="E440" s="1">
        <v>42324</v>
      </c>
      <c r="F440" s="3">
        <v>0.74782407407407403</v>
      </c>
      <c r="G440">
        <v>12</v>
      </c>
      <c r="H440">
        <v>12</v>
      </c>
      <c r="I440" t="s">
        <v>45</v>
      </c>
      <c r="J440" t="s">
        <v>15</v>
      </c>
      <c r="K440" t="s">
        <v>16</v>
      </c>
      <c r="L440" t="s">
        <v>17</v>
      </c>
    </row>
    <row r="441" spans="1:12" x14ac:dyDescent="0.2">
      <c r="A441">
        <v>440</v>
      </c>
      <c r="B441" t="s">
        <v>238</v>
      </c>
      <c r="C441" t="s">
        <v>582</v>
      </c>
      <c r="D441" s="2">
        <v>1</v>
      </c>
      <c r="E441" s="1">
        <v>42326</v>
      </c>
      <c r="F441" s="3">
        <v>0.84234953703703708</v>
      </c>
      <c r="G441">
        <v>20.25</v>
      </c>
      <c r="H441">
        <v>20.25</v>
      </c>
      <c r="I441" t="s">
        <v>20</v>
      </c>
      <c r="J441" t="s">
        <v>26</v>
      </c>
      <c r="K441" t="s">
        <v>56</v>
      </c>
      <c r="L441" t="s">
        <v>57</v>
      </c>
    </row>
    <row r="442" spans="1:12" x14ac:dyDescent="0.2">
      <c r="A442">
        <v>441</v>
      </c>
      <c r="B442" t="s">
        <v>583</v>
      </c>
      <c r="C442" t="s">
        <v>584</v>
      </c>
      <c r="D442" s="2">
        <v>1</v>
      </c>
      <c r="E442" s="1">
        <v>42327</v>
      </c>
      <c r="F442" s="3">
        <v>0.74812500000000004</v>
      </c>
      <c r="G442">
        <v>16.75</v>
      </c>
      <c r="H442">
        <v>16.75</v>
      </c>
      <c r="I442" t="s">
        <v>14</v>
      </c>
      <c r="J442" t="s">
        <v>21</v>
      </c>
      <c r="K442" t="s">
        <v>92</v>
      </c>
      <c r="L442" t="s">
        <v>93</v>
      </c>
    </row>
    <row r="443" spans="1:12" x14ac:dyDescent="0.2">
      <c r="A443">
        <v>442</v>
      </c>
      <c r="B443" t="s">
        <v>585</v>
      </c>
      <c r="C443" t="s">
        <v>586</v>
      </c>
      <c r="D443" s="2">
        <v>1</v>
      </c>
      <c r="E443" s="1">
        <v>42328</v>
      </c>
      <c r="F443" s="3">
        <v>0.48958333333333331</v>
      </c>
      <c r="G443">
        <v>23.65</v>
      </c>
      <c r="H443">
        <v>23.65</v>
      </c>
      <c r="I443" t="s">
        <v>45</v>
      </c>
      <c r="J443" t="s">
        <v>31</v>
      </c>
      <c r="K443" t="s">
        <v>587</v>
      </c>
      <c r="L443" t="s">
        <v>588</v>
      </c>
    </row>
    <row r="444" spans="1:12" x14ac:dyDescent="0.2">
      <c r="A444">
        <v>443</v>
      </c>
      <c r="B444" t="s">
        <v>151</v>
      </c>
      <c r="C444" t="s">
        <v>589</v>
      </c>
      <c r="D444" s="2">
        <v>1</v>
      </c>
      <c r="E444" s="1">
        <v>42328</v>
      </c>
      <c r="F444" s="3">
        <v>0.7648611111111111</v>
      </c>
      <c r="G444">
        <v>20.75</v>
      </c>
      <c r="H444">
        <v>20.75</v>
      </c>
      <c r="I444" t="s">
        <v>20</v>
      </c>
      <c r="J444" t="s">
        <v>31</v>
      </c>
      <c r="K444" t="s">
        <v>88</v>
      </c>
      <c r="L444" t="s">
        <v>89</v>
      </c>
    </row>
    <row r="445" spans="1:12" x14ac:dyDescent="0.2">
      <c r="A445">
        <v>444</v>
      </c>
      <c r="B445" t="s">
        <v>218</v>
      </c>
      <c r="C445" t="s">
        <v>590</v>
      </c>
      <c r="D445" s="2">
        <v>1</v>
      </c>
      <c r="E445" s="1">
        <v>42329</v>
      </c>
      <c r="F445" s="3">
        <v>0.7634143518518518</v>
      </c>
      <c r="G445">
        <v>16.75</v>
      </c>
      <c r="H445">
        <v>16.75</v>
      </c>
      <c r="I445" t="s">
        <v>14</v>
      </c>
      <c r="J445" t="s">
        <v>21</v>
      </c>
      <c r="K445" t="s">
        <v>140</v>
      </c>
      <c r="L445" t="s">
        <v>141</v>
      </c>
    </row>
    <row r="446" spans="1:12" x14ac:dyDescent="0.2">
      <c r="A446">
        <v>445</v>
      </c>
      <c r="B446" t="s">
        <v>264</v>
      </c>
      <c r="C446" t="s">
        <v>225</v>
      </c>
      <c r="D446" s="2">
        <v>1</v>
      </c>
      <c r="E446" s="1">
        <v>42330</v>
      </c>
      <c r="F446" s="3">
        <v>0.51465277777777774</v>
      </c>
      <c r="G446">
        <v>12</v>
      </c>
      <c r="H446">
        <v>12</v>
      </c>
      <c r="I446" t="s">
        <v>45</v>
      </c>
      <c r="J446" t="s">
        <v>26</v>
      </c>
      <c r="K446" t="s">
        <v>266</v>
      </c>
      <c r="L446" t="s">
        <v>267</v>
      </c>
    </row>
    <row r="447" spans="1:12" x14ac:dyDescent="0.2">
      <c r="A447">
        <v>446</v>
      </c>
      <c r="B447" t="s">
        <v>105</v>
      </c>
      <c r="C447" t="s">
        <v>591</v>
      </c>
      <c r="D447" s="2">
        <v>1</v>
      </c>
      <c r="E447" s="1">
        <v>42334</v>
      </c>
      <c r="F447" s="3">
        <v>0.49149305555555556</v>
      </c>
      <c r="G447">
        <v>16.5</v>
      </c>
      <c r="H447">
        <v>16.5</v>
      </c>
      <c r="I447" t="s">
        <v>20</v>
      </c>
      <c r="J447" t="s">
        <v>15</v>
      </c>
      <c r="K447" t="s">
        <v>107</v>
      </c>
      <c r="L447" t="s">
        <v>108</v>
      </c>
    </row>
    <row r="448" spans="1:12" x14ac:dyDescent="0.2">
      <c r="A448">
        <v>447</v>
      </c>
      <c r="B448" t="s">
        <v>62</v>
      </c>
      <c r="C448" t="s">
        <v>592</v>
      </c>
      <c r="D448" s="2">
        <v>1</v>
      </c>
      <c r="E448" s="1">
        <v>42334</v>
      </c>
      <c r="F448" s="3">
        <v>0.80270833333333336</v>
      </c>
      <c r="G448">
        <v>16</v>
      </c>
      <c r="H448">
        <v>16</v>
      </c>
      <c r="I448" t="s">
        <v>14</v>
      </c>
      <c r="J448" t="s">
        <v>15</v>
      </c>
      <c r="K448" t="s">
        <v>37</v>
      </c>
      <c r="L448" t="s">
        <v>38</v>
      </c>
    </row>
    <row r="449" spans="1:12" x14ac:dyDescent="0.2">
      <c r="A449">
        <v>448</v>
      </c>
      <c r="B449" t="s">
        <v>111</v>
      </c>
      <c r="C449" t="s">
        <v>593</v>
      </c>
      <c r="D449" s="2">
        <v>2</v>
      </c>
      <c r="E449" s="1">
        <v>42334</v>
      </c>
      <c r="F449" s="3">
        <v>0.80702546296296296</v>
      </c>
      <c r="G449">
        <v>20.75</v>
      </c>
      <c r="H449">
        <v>41.5</v>
      </c>
      <c r="I449" t="s">
        <v>20</v>
      </c>
      <c r="J449" t="s">
        <v>21</v>
      </c>
      <c r="K449" t="s">
        <v>81</v>
      </c>
      <c r="L449" t="s">
        <v>82</v>
      </c>
    </row>
    <row r="450" spans="1:12" x14ac:dyDescent="0.2">
      <c r="A450">
        <v>449</v>
      </c>
      <c r="B450" t="s">
        <v>24</v>
      </c>
      <c r="C450" t="s">
        <v>594</v>
      </c>
      <c r="D450" s="2">
        <v>1</v>
      </c>
      <c r="E450" s="1">
        <v>42335</v>
      </c>
      <c r="F450" s="3">
        <v>0.79753472222222221</v>
      </c>
      <c r="G450">
        <v>18.5</v>
      </c>
      <c r="H450">
        <v>18.5</v>
      </c>
      <c r="I450" t="s">
        <v>20</v>
      </c>
      <c r="J450" t="s">
        <v>26</v>
      </c>
      <c r="K450" t="s">
        <v>27</v>
      </c>
      <c r="L450" t="s">
        <v>28</v>
      </c>
    </row>
    <row r="451" spans="1:12" x14ac:dyDescent="0.2">
      <c r="A451">
        <v>450</v>
      </c>
      <c r="B451" t="s">
        <v>39</v>
      </c>
      <c r="C451" t="s">
        <v>595</v>
      </c>
      <c r="D451" s="2">
        <v>1</v>
      </c>
      <c r="E451" s="1">
        <v>42335</v>
      </c>
      <c r="F451" s="3">
        <v>0.89465277777777774</v>
      </c>
      <c r="G451">
        <v>15.25</v>
      </c>
      <c r="H451">
        <v>15.25</v>
      </c>
      <c r="I451" t="s">
        <v>20</v>
      </c>
      <c r="J451" t="s">
        <v>15</v>
      </c>
      <c r="K451" t="s">
        <v>41</v>
      </c>
      <c r="L451" t="s">
        <v>42</v>
      </c>
    </row>
    <row r="452" spans="1:12" x14ac:dyDescent="0.2">
      <c r="A452">
        <v>451</v>
      </c>
      <c r="B452" t="s">
        <v>164</v>
      </c>
      <c r="C452" t="s">
        <v>596</v>
      </c>
      <c r="D452" s="2">
        <v>1</v>
      </c>
      <c r="E452" s="1">
        <v>42335</v>
      </c>
      <c r="F452" s="3">
        <v>0.91780092592592588</v>
      </c>
      <c r="G452">
        <v>12.5</v>
      </c>
      <c r="H452">
        <v>12.5</v>
      </c>
      <c r="I452" t="s">
        <v>45</v>
      </c>
      <c r="J452" t="s">
        <v>26</v>
      </c>
      <c r="K452" t="s">
        <v>166</v>
      </c>
      <c r="L452" t="s">
        <v>167</v>
      </c>
    </row>
    <row r="453" spans="1:12" x14ac:dyDescent="0.2">
      <c r="A453">
        <v>452</v>
      </c>
      <c r="B453" t="s">
        <v>126</v>
      </c>
      <c r="C453" t="s">
        <v>597</v>
      </c>
      <c r="D453" s="2">
        <v>1</v>
      </c>
      <c r="E453" s="1">
        <v>42337</v>
      </c>
      <c r="F453" s="3">
        <v>0.80800925925925926</v>
      </c>
      <c r="G453">
        <v>10.5</v>
      </c>
      <c r="H453">
        <v>10.5</v>
      </c>
      <c r="I453" t="s">
        <v>45</v>
      </c>
      <c r="J453" t="s">
        <v>15</v>
      </c>
      <c r="K453" t="s">
        <v>107</v>
      </c>
      <c r="L453" t="s">
        <v>108</v>
      </c>
    </row>
    <row r="454" spans="1:12" x14ac:dyDescent="0.2">
      <c r="A454">
        <v>453</v>
      </c>
      <c r="B454" t="s">
        <v>256</v>
      </c>
      <c r="C454" t="s">
        <v>598</v>
      </c>
      <c r="D454" s="2">
        <v>1</v>
      </c>
      <c r="E454" s="1">
        <v>42338</v>
      </c>
      <c r="F454" s="3">
        <v>0.82307870370370373</v>
      </c>
      <c r="G454">
        <v>16.75</v>
      </c>
      <c r="H454">
        <v>16.75</v>
      </c>
      <c r="I454" t="s">
        <v>14</v>
      </c>
      <c r="J454" t="s">
        <v>21</v>
      </c>
      <c r="K454" t="s">
        <v>22</v>
      </c>
      <c r="L454" t="s">
        <v>23</v>
      </c>
    </row>
    <row r="455" spans="1:12" x14ac:dyDescent="0.2">
      <c r="A455">
        <v>454</v>
      </c>
      <c r="B455" t="s">
        <v>480</v>
      </c>
      <c r="C455" t="s">
        <v>599</v>
      </c>
      <c r="D455" s="2">
        <v>1</v>
      </c>
      <c r="E455" s="1">
        <v>42339</v>
      </c>
      <c r="F455" s="3">
        <v>0.7099537037037037</v>
      </c>
      <c r="G455">
        <v>16</v>
      </c>
      <c r="H455">
        <v>16</v>
      </c>
      <c r="I455" t="s">
        <v>14</v>
      </c>
      <c r="J455" t="s">
        <v>26</v>
      </c>
      <c r="K455" t="s">
        <v>266</v>
      </c>
      <c r="L455" t="s">
        <v>267</v>
      </c>
    </row>
    <row r="456" spans="1:12" x14ac:dyDescent="0.2">
      <c r="A456">
        <v>455</v>
      </c>
      <c r="B456" t="s">
        <v>70</v>
      </c>
      <c r="C456" t="s">
        <v>600</v>
      </c>
      <c r="D456" s="2">
        <v>1</v>
      </c>
      <c r="E456" s="1">
        <v>42339</v>
      </c>
      <c r="F456" s="3">
        <v>0.75253472222222217</v>
      </c>
      <c r="G456">
        <v>16.75</v>
      </c>
      <c r="H456">
        <v>16.75</v>
      </c>
      <c r="I456" t="s">
        <v>14</v>
      </c>
      <c r="J456" t="s">
        <v>26</v>
      </c>
      <c r="K456" t="s">
        <v>72</v>
      </c>
      <c r="L456" t="s">
        <v>73</v>
      </c>
    </row>
    <row r="457" spans="1:12" x14ac:dyDescent="0.2">
      <c r="A457">
        <v>456</v>
      </c>
      <c r="B457" t="s">
        <v>282</v>
      </c>
      <c r="C457" t="s">
        <v>601</v>
      </c>
      <c r="D457" s="2">
        <v>1</v>
      </c>
      <c r="E457" s="1">
        <v>42340</v>
      </c>
      <c r="F457" s="3">
        <v>0.57491898148148146</v>
      </c>
      <c r="G457">
        <v>12</v>
      </c>
      <c r="H457">
        <v>12</v>
      </c>
      <c r="I457" t="s">
        <v>45</v>
      </c>
      <c r="J457" t="s">
        <v>26</v>
      </c>
      <c r="K457" t="s">
        <v>98</v>
      </c>
      <c r="L457" t="s">
        <v>99</v>
      </c>
    </row>
    <row r="458" spans="1:12" x14ac:dyDescent="0.2">
      <c r="A458">
        <v>457</v>
      </c>
      <c r="B458" t="s">
        <v>215</v>
      </c>
      <c r="C458" t="s">
        <v>602</v>
      </c>
      <c r="D458" s="2">
        <v>1</v>
      </c>
      <c r="E458" s="1">
        <v>42341</v>
      </c>
      <c r="F458" s="3">
        <v>0.74268518518518523</v>
      </c>
      <c r="G458">
        <v>12</v>
      </c>
      <c r="H458">
        <v>12</v>
      </c>
      <c r="I458" t="s">
        <v>45</v>
      </c>
      <c r="J458" t="s">
        <v>26</v>
      </c>
      <c r="K458" t="s">
        <v>122</v>
      </c>
      <c r="L458" t="s">
        <v>123</v>
      </c>
    </row>
    <row r="459" spans="1:12" x14ac:dyDescent="0.2">
      <c r="A459">
        <v>458</v>
      </c>
      <c r="B459" t="s">
        <v>24</v>
      </c>
      <c r="C459" t="s">
        <v>161</v>
      </c>
      <c r="D459" s="2">
        <v>1</v>
      </c>
      <c r="E459" s="1">
        <v>42342</v>
      </c>
      <c r="F459" s="3">
        <v>0.59606481481481477</v>
      </c>
      <c r="G459">
        <v>18.5</v>
      </c>
      <c r="H459">
        <v>18.5</v>
      </c>
      <c r="I459" t="s">
        <v>20</v>
      </c>
      <c r="J459" t="s">
        <v>26</v>
      </c>
      <c r="K459" t="s">
        <v>27</v>
      </c>
      <c r="L459" t="s">
        <v>28</v>
      </c>
    </row>
    <row r="460" spans="1:12" x14ac:dyDescent="0.2">
      <c r="A460">
        <v>459</v>
      </c>
      <c r="B460" t="s">
        <v>170</v>
      </c>
      <c r="C460" t="s">
        <v>603</v>
      </c>
      <c r="D460" s="2">
        <v>1</v>
      </c>
      <c r="E460" s="1">
        <v>42342</v>
      </c>
      <c r="F460" s="3">
        <v>0.74815972222222227</v>
      </c>
      <c r="G460">
        <v>12</v>
      </c>
      <c r="H460">
        <v>12</v>
      </c>
      <c r="I460" t="s">
        <v>45</v>
      </c>
      <c r="J460" t="s">
        <v>15</v>
      </c>
      <c r="K460" t="s">
        <v>172</v>
      </c>
      <c r="L460" t="s">
        <v>173</v>
      </c>
    </row>
    <row r="461" spans="1:12" x14ac:dyDescent="0.2">
      <c r="A461">
        <v>460</v>
      </c>
      <c r="B461" t="s">
        <v>498</v>
      </c>
      <c r="C461" t="s">
        <v>604</v>
      </c>
      <c r="D461" s="2">
        <v>1</v>
      </c>
      <c r="E461" s="1">
        <v>42342</v>
      </c>
      <c r="F461" s="3">
        <v>0.75042824074074077</v>
      </c>
      <c r="G461">
        <v>12.75</v>
      </c>
      <c r="H461">
        <v>12.75</v>
      </c>
      <c r="I461" t="s">
        <v>45</v>
      </c>
      <c r="J461" t="s">
        <v>21</v>
      </c>
      <c r="K461" t="s">
        <v>140</v>
      </c>
      <c r="L461" t="s">
        <v>141</v>
      </c>
    </row>
    <row r="462" spans="1:12" x14ac:dyDescent="0.2">
      <c r="A462">
        <v>461</v>
      </c>
      <c r="B462" t="s">
        <v>307</v>
      </c>
      <c r="C462" t="s">
        <v>605</v>
      </c>
      <c r="D462" s="2">
        <v>1</v>
      </c>
      <c r="E462" s="1">
        <v>42345</v>
      </c>
      <c r="F462" s="3">
        <v>0.49642361111111111</v>
      </c>
      <c r="G462">
        <v>20.25</v>
      </c>
      <c r="H462">
        <v>20.25</v>
      </c>
      <c r="I462" t="s">
        <v>20</v>
      </c>
      <c r="J462" t="s">
        <v>26</v>
      </c>
      <c r="K462" t="s">
        <v>266</v>
      </c>
      <c r="L462" t="s">
        <v>267</v>
      </c>
    </row>
    <row r="463" spans="1:12" x14ac:dyDescent="0.2">
      <c r="A463">
        <v>462</v>
      </c>
      <c r="B463" t="s">
        <v>229</v>
      </c>
      <c r="C463" t="s">
        <v>606</v>
      </c>
      <c r="D463" s="2">
        <v>1</v>
      </c>
      <c r="E463" s="1">
        <v>42345</v>
      </c>
      <c r="F463" s="3">
        <v>0.53708333333333336</v>
      </c>
      <c r="G463">
        <v>20.25</v>
      </c>
      <c r="H463">
        <v>20.25</v>
      </c>
      <c r="I463" t="s">
        <v>20</v>
      </c>
      <c r="J463" t="s">
        <v>26</v>
      </c>
      <c r="K463" t="s">
        <v>122</v>
      </c>
      <c r="L463" t="s">
        <v>123</v>
      </c>
    </row>
    <row r="464" spans="1:12" x14ac:dyDescent="0.2">
      <c r="A464">
        <v>463</v>
      </c>
      <c r="B464" t="s">
        <v>79</v>
      </c>
      <c r="C464" t="s">
        <v>607</v>
      </c>
      <c r="D464" s="2">
        <v>1</v>
      </c>
      <c r="E464" s="1">
        <v>42346</v>
      </c>
      <c r="F464" s="3">
        <v>0.47944444444444445</v>
      </c>
      <c r="G464">
        <v>12.75</v>
      </c>
      <c r="H464">
        <v>12.75</v>
      </c>
      <c r="I464" t="s">
        <v>45</v>
      </c>
      <c r="J464" t="s">
        <v>21</v>
      </c>
      <c r="K464" t="s">
        <v>81</v>
      </c>
      <c r="L464" t="s">
        <v>82</v>
      </c>
    </row>
    <row r="465" spans="1:12" x14ac:dyDescent="0.2">
      <c r="A465">
        <v>464</v>
      </c>
      <c r="B465" t="s">
        <v>133</v>
      </c>
      <c r="C465" t="s">
        <v>252</v>
      </c>
      <c r="D465" s="2">
        <v>1</v>
      </c>
      <c r="E465" s="1">
        <v>42346</v>
      </c>
      <c r="F465" s="3">
        <v>0.77260416666666665</v>
      </c>
      <c r="G465">
        <v>16.75</v>
      </c>
      <c r="H465">
        <v>16.75</v>
      </c>
      <c r="I465" t="s">
        <v>14</v>
      </c>
      <c r="J465" t="s">
        <v>21</v>
      </c>
      <c r="K465" t="s">
        <v>103</v>
      </c>
      <c r="L465" t="s">
        <v>104</v>
      </c>
    </row>
    <row r="466" spans="1:12" x14ac:dyDescent="0.2">
      <c r="A466">
        <v>465</v>
      </c>
      <c r="B466" t="s">
        <v>178</v>
      </c>
      <c r="C466" t="s">
        <v>608</v>
      </c>
      <c r="D466" s="2">
        <v>1</v>
      </c>
      <c r="E466" s="1">
        <v>42347</v>
      </c>
      <c r="F466" s="3">
        <v>0.53754629629629624</v>
      </c>
      <c r="G466">
        <v>20.5</v>
      </c>
      <c r="H466">
        <v>20.5</v>
      </c>
      <c r="I466" t="s">
        <v>20</v>
      </c>
      <c r="J466" t="s">
        <v>15</v>
      </c>
      <c r="K466" t="s">
        <v>180</v>
      </c>
      <c r="L466" t="s">
        <v>181</v>
      </c>
    </row>
    <row r="467" spans="1:12" x14ac:dyDescent="0.2">
      <c r="A467">
        <v>466</v>
      </c>
      <c r="B467" t="s">
        <v>66</v>
      </c>
      <c r="C467" t="s">
        <v>609</v>
      </c>
      <c r="D467" s="2">
        <v>1</v>
      </c>
      <c r="E467" s="1">
        <v>42347</v>
      </c>
      <c r="F467" s="3">
        <v>0.62232638888888892</v>
      </c>
      <c r="G467">
        <v>20.75</v>
      </c>
      <c r="H467">
        <v>20.75</v>
      </c>
      <c r="I467" t="s">
        <v>20</v>
      </c>
      <c r="J467" t="s">
        <v>31</v>
      </c>
      <c r="K467" t="s">
        <v>68</v>
      </c>
      <c r="L467" t="s">
        <v>69</v>
      </c>
    </row>
    <row r="468" spans="1:12" x14ac:dyDescent="0.2">
      <c r="A468">
        <v>467</v>
      </c>
      <c r="B468" t="s">
        <v>175</v>
      </c>
      <c r="C468" t="s">
        <v>610</v>
      </c>
      <c r="D468" s="2">
        <v>1</v>
      </c>
      <c r="E468" s="1">
        <v>42348</v>
      </c>
      <c r="F468" s="3">
        <v>0.57810185185185181</v>
      </c>
      <c r="G468">
        <v>12</v>
      </c>
      <c r="H468">
        <v>12</v>
      </c>
      <c r="I468" t="s">
        <v>45</v>
      </c>
      <c r="J468" t="s">
        <v>15</v>
      </c>
      <c r="K468" t="s">
        <v>16</v>
      </c>
      <c r="L468" t="s">
        <v>17</v>
      </c>
    </row>
    <row r="469" spans="1:12" x14ac:dyDescent="0.2">
      <c r="A469">
        <v>468</v>
      </c>
      <c r="B469" t="s">
        <v>439</v>
      </c>
      <c r="C469" t="s">
        <v>611</v>
      </c>
      <c r="D469" s="2">
        <v>1</v>
      </c>
      <c r="E469" s="1">
        <v>42348</v>
      </c>
      <c r="F469" s="3">
        <v>0.70990740740740743</v>
      </c>
      <c r="G469">
        <v>12</v>
      </c>
      <c r="H469">
        <v>12</v>
      </c>
      <c r="I469" t="s">
        <v>45</v>
      </c>
      <c r="J469" t="s">
        <v>15</v>
      </c>
      <c r="K469" t="s">
        <v>180</v>
      </c>
      <c r="L469" t="s">
        <v>181</v>
      </c>
    </row>
    <row r="470" spans="1:12" x14ac:dyDescent="0.2">
      <c r="A470">
        <v>469</v>
      </c>
      <c r="B470" t="s">
        <v>133</v>
      </c>
      <c r="C470" t="s">
        <v>612</v>
      </c>
      <c r="D470" s="2">
        <v>1</v>
      </c>
      <c r="E470" s="1">
        <v>42348</v>
      </c>
      <c r="F470" s="3">
        <v>0.90827546296296291</v>
      </c>
      <c r="G470">
        <v>16.75</v>
      </c>
      <c r="H470">
        <v>16.75</v>
      </c>
      <c r="I470" t="s">
        <v>14</v>
      </c>
      <c r="J470" t="s">
        <v>21</v>
      </c>
      <c r="K470" t="s">
        <v>103</v>
      </c>
      <c r="L470" t="s">
        <v>104</v>
      </c>
    </row>
    <row r="471" spans="1:12" x14ac:dyDescent="0.2">
      <c r="A471">
        <v>470</v>
      </c>
      <c r="B471" t="s">
        <v>126</v>
      </c>
      <c r="C471" t="s">
        <v>613</v>
      </c>
      <c r="D471" s="2">
        <v>1</v>
      </c>
      <c r="E471" s="1">
        <v>42349</v>
      </c>
      <c r="F471" s="3">
        <v>0.70634259259259258</v>
      </c>
      <c r="G471">
        <v>10.5</v>
      </c>
      <c r="H471">
        <v>10.5</v>
      </c>
      <c r="I471" t="s">
        <v>45</v>
      </c>
      <c r="J471" t="s">
        <v>15</v>
      </c>
      <c r="K471" t="s">
        <v>107</v>
      </c>
      <c r="L471" t="s">
        <v>108</v>
      </c>
    </row>
    <row r="472" spans="1:12" x14ac:dyDescent="0.2">
      <c r="A472">
        <v>471</v>
      </c>
      <c r="B472" t="s">
        <v>144</v>
      </c>
      <c r="C472" t="s">
        <v>614</v>
      </c>
      <c r="D472" s="2">
        <v>1</v>
      </c>
      <c r="E472" s="1">
        <v>42349</v>
      </c>
      <c r="F472" s="3">
        <v>0.83082175925925927</v>
      </c>
      <c r="G472">
        <v>20.25</v>
      </c>
      <c r="H472">
        <v>20.25</v>
      </c>
      <c r="I472" t="s">
        <v>20</v>
      </c>
      <c r="J472" t="s">
        <v>31</v>
      </c>
      <c r="K472" t="s">
        <v>146</v>
      </c>
      <c r="L472" t="s">
        <v>147</v>
      </c>
    </row>
    <row r="473" spans="1:12" x14ac:dyDescent="0.2">
      <c r="A473">
        <v>472</v>
      </c>
      <c r="B473" t="s">
        <v>411</v>
      </c>
      <c r="C473" t="s">
        <v>304</v>
      </c>
      <c r="D473" s="2">
        <v>1</v>
      </c>
      <c r="E473" s="1">
        <v>42350</v>
      </c>
      <c r="F473" s="3">
        <v>0.75635416666666666</v>
      </c>
      <c r="G473">
        <v>11</v>
      </c>
      <c r="H473">
        <v>11</v>
      </c>
      <c r="I473" t="s">
        <v>45</v>
      </c>
      <c r="J473" t="s">
        <v>15</v>
      </c>
      <c r="K473" t="s">
        <v>368</v>
      </c>
      <c r="L473" t="s">
        <v>369</v>
      </c>
    </row>
    <row r="474" spans="1:12" x14ac:dyDescent="0.2">
      <c r="A474">
        <v>473</v>
      </c>
      <c r="B474" t="s">
        <v>96</v>
      </c>
      <c r="C474" t="s">
        <v>615</v>
      </c>
      <c r="D474" s="2">
        <v>1</v>
      </c>
      <c r="E474" s="1">
        <v>42351</v>
      </c>
      <c r="F474" s="3">
        <v>0.59924768518518523</v>
      </c>
      <c r="G474">
        <v>20.25</v>
      </c>
      <c r="H474">
        <v>20.25</v>
      </c>
      <c r="I474" t="s">
        <v>20</v>
      </c>
      <c r="J474" t="s">
        <v>26</v>
      </c>
      <c r="K474" t="s">
        <v>98</v>
      </c>
      <c r="L474" t="s">
        <v>99</v>
      </c>
    </row>
    <row r="475" spans="1:12" x14ac:dyDescent="0.2">
      <c r="A475">
        <v>474</v>
      </c>
      <c r="B475" t="s">
        <v>471</v>
      </c>
      <c r="C475" t="s">
        <v>616</v>
      </c>
      <c r="D475" s="2">
        <v>1</v>
      </c>
      <c r="E475" s="1">
        <v>42351</v>
      </c>
      <c r="F475" s="3">
        <v>0.59924768518518523</v>
      </c>
      <c r="G475">
        <v>12.5</v>
      </c>
      <c r="H475">
        <v>12.5</v>
      </c>
      <c r="I475" t="s">
        <v>45</v>
      </c>
      <c r="J475" t="s">
        <v>31</v>
      </c>
      <c r="K475" t="s">
        <v>328</v>
      </c>
      <c r="L475" t="s">
        <v>329</v>
      </c>
    </row>
    <row r="476" spans="1:12" x14ac:dyDescent="0.2">
      <c r="A476">
        <v>475</v>
      </c>
      <c r="B476" t="s">
        <v>70</v>
      </c>
      <c r="C476" t="s">
        <v>220</v>
      </c>
      <c r="D476" s="2">
        <v>1</v>
      </c>
      <c r="E476" s="1">
        <v>42351</v>
      </c>
      <c r="F476" s="3">
        <v>0.81287037037037035</v>
      </c>
      <c r="G476">
        <v>16.75</v>
      </c>
      <c r="H476">
        <v>16.75</v>
      </c>
      <c r="I476" t="s">
        <v>14</v>
      </c>
      <c r="J476" t="s">
        <v>26</v>
      </c>
      <c r="K476" t="s">
        <v>72</v>
      </c>
      <c r="L476" t="s">
        <v>73</v>
      </c>
    </row>
    <row r="477" spans="1:12" x14ac:dyDescent="0.2">
      <c r="A477">
        <v>476</v>
      </c>
      <c r="B477" t="s">
        <v>86</v>
      </c>
      <c r="C477" t="s">
        <v>617</v>
      </c>
      <c r="D477" s="2">
        <v>1</v>
      </c>
      <c r="E477" s="1">
        <v>42352</v>
      </c>
      <c r="F477" s="3">
        <v>0.6988657407407407</v>
      </c>
      <c r="G477">
        <v>16.5</v>
      </c>
      <c r="H477">
        <v>16.5</v>
      </c>
      <c r="I477" t="s">
        <v>14</v>
      </c>
      <c r="J477" t="s">
        <v>31</v>
      </c>
      <c r="K477" t="s">
        <v>88</v>
      </c>
      <c r="L477" t="s">
        <v>89</v>
      </c>
    </row>
    <row r="478" spans="1:12" x14ac:dyDescent="0.2">
      <c r="A478">
        <v>477</v>
      </c>
      <c r="B478" t="s">
        <v>70</v>
      </c>
      <c r="C478" t="s">
        <v>618</v>
      </c>
      <c r="D478" s="2">
        <v>1</v>
      </c>
      <c r="E478" s="1">
        <v>42352</v>
      </c>
      <c r="F478" s="3">
        <v>0.71475694444444449</v>
      </c>
      <c r="G478">
        <v>16.75</v>
      </c>
      <c r="H478">
        <v>16.75</v>
      </c>
      <c r="I478" t="s">
        <v>14</v>
      </c>
      <c r="J478" t="s">
        <v>26</v>
      </c>
      <c r="K478" t="s">
        <v>72</v>
      </c>
      <c r="L478" t="s">
        <v>73</v>
      </c>
    </row>
    <row r="479" spans="1:12" x14ac:dyDescent="0.2">
      <c r="A479">
        <v>478</v>
      </c>
      <c r="B479" t="s">
        <v>585</v>
      </c>
      <c r="C479" t="s">
        <v>619</v>
      </c>
      <c r="D479" s="2">
        <v>1</v>
      </c>
      <c r="E479" s="1">
        <v>42353</v>
      </c>
      <c r="F479" s="3">
        <v>0.77405092592592595</v>
      </c>
      <c r="G479">
        <v>23.65</v>
      </c>
      <c r="H479">
        <v>23.65</v>
      </c>
      <c r="I479" t="s">
        <v>45</v>
      </c>
      <c r="J479" t="s">
        <v>31</v>
      </c>
      <c r="K479" t="s">
        <v>587</v>
      </c>
      <c r="L479" t="s">
        <v>588</v>
      </c>
    </row>
    <row r="480" spans="1:12" x14ac:dyDescent="0.2">
      <c r="A480">
        <v>479</v>
      </c>
      <c r="B480" t="s">
        <v>234</v>
      </c>
      <c r="C480" t="s">
        <v>620</v>
      </c>
      <c r="D480" s="2">
        <v>1</v>
      </c>
      <c r="E480" s="1">
        <v>42354</v>
      </c>
      <c r="F480" s="3">
        <v>0.6690625</v>
      </c>
      <c r="G480">
        <v>16</v>
      </c>
      <c r="H480">
        <v>16</v>
      </c>
      <c r="I480" t="s">
        <v>14</v>
      </c>
      <c r="J480" t="s">
        <v>26</v>
      </c>
      <c r="K480" t="s">
        <v>197</v>
      </c>
      <c r="L480" t="s">
        <v>198</v>
      </c>
    </row>
    <row r="481" spans="1:12" x14ac:dyDescent="0.2">
      <c r="A481">
        <v>480</v>
      </c>
      <c r="B481" t="s">
        <v>66</v>
      </c>
      <c r="C481" t="s">
        <v>621</v>
      </c>
      <c r="D481" s="2">
        <v>1</v>
      </c>
      <c r="E481" s="1">
        <v>42354</v>
      </c>
      <c r="F481" s="3">
        <v>0.80075231481481479</v>
      </c>
      <c r="G481">
        <v>20.75</v>
      </c>
      <c r="H481">
        <v>20.75</v>
      </c>
      <c r="I481" t="s">
        <v>20</v>
      </c>
      <c r="J481" t="s">
        <v>31</v>
      </c>
      <c r="K481" t="s">
        <v>68</v>
      </c>
      <c r="L481" t="s">
        <v>69</v>
      </c>
    </row>
    <row r="482" spans="1:12" x14ac:dyDescent="0.2">
      <c r="A482">
        <v>481</v>
      </c>
      <c r="B482" t="s">
        <v>29</v>
      </c>
      <c r="C482" t="s">
        <v>622</v>
      </c>
      <c r="D482" s="2">
        <v>1</v>
      </c>
      <c r="E482" s="1">
        <v>42355</v>
      </c>
      <c r="F482" s="3">
        <v>0.57424768518518521</v>
      </c>
      <c r="G482">
        <v>20.75</v>
      </c>
      <c r="H482">
        <v>20.75</v>
      </c>
      <c r="I482" t="s">
        <v>20</v>
      </c>
      <c r="J482" t="s">
        <v>31</v>
      </c>
      <c r="K482" t="s">
        <v>32</v>
      </c>
      <c r="L482" t="s">
        <v>33</v>
      </c>
    </row>
    <row r="483" spans="1:12" x14ac:dyDescent="0.2">
      <c r="A483">
        <v>482</v>
      </c>
      <c r="B483" t="s">
        <v>170</v>
      </c>
      <c r="C483" t="s">
        <v>623</v>
      </c>
      <c r="D483" s="2">
        <v>1</v>
      </c>
      <c r="E483" s="1">
        <v>42356</v>
      </c>
      <c r="F483" s="3">
        <v>0.49459490740740741</v>
      </c>
      <c r="G483">
        <v>12</v>
      </c>
      <c r="H483">
        <v>12</v>
      </c>
      <c r="I483" t="s">
        <v>45</v>
      </c>
      <c r="J483" t="s">
        <v>15</v>
      </c>
      <c r="K483" t="s">
        <v>172</v>
      </c>
      <c r="L483" t="s">
        <v>173</v>
      </c>
    </row>
    <row r="484" spans="1:12" x14ac:dyDescent="0.2">
      <c r="A484">
        <v>483</v>
      </c>
      <c r="B484" t="s">
        <v>52</v>
      </c>
      <c r="C484" t="s">
        <v>624</v>
      </c>
      <c r="D484" s="2">
        <v>1</v>
      </c>
      <c r="E484" s="1">
        <v>42356</v>
      </c>
      <c r="F484" s="3">
        <v>0.76144675925925931</v>
      </c>
      <c r="G484">
        <v>12.5</v>
      </c>
      <c r="H484">
        <v>12.5</v>
      </c>
      <c r="I484" t="s">
        <v>45</v>
      </c>
      <c r="J484" t="s">
        <v>31</v>
      </c>
      <c r="K484" t="s">
        <v>32</v>
      </c>
      <c r="L484" t="s">
        <v>33</v>
      </c>
    </row>
    <row r="485" spans="1:12" x14ac:dyDescent="0.2">
      <c r="A485">
        <v>484</v>
      </c>
      <c r="B485" t="s">
        <v>218</v>
      </c>
      <c r="C485" t="s">
        <v>625</v>
      </c>
      <c r="D485" s="2">
        <v>1</v>
      </c>
      <c r="E485" s="1">
        <v>42356</v>
      </c>
      <c r="F485" s="3">
        <v>0.8892592592592593</v>
      </c>
      <c r="G485">
        <v>16.75</v>
      </c>
      <c r="H485">
        <v>16.75</v>
      </c>
      <c r="I485" t="s">
        <v>14</v>
      </c>
      <c r="J485" t="s">
        <v>21</v>
      </c>
      <c r="K485" t="s">
        <v>140</v>
      </c>
      <c r="L485" t="s">
        <v>141</v>
      </c>
    </row>
    <row r="486" spans="1:12" x14ac:dyDescent="0.2">
      <c r="A486">
        <v>485</v>
      </c>
      <c r="B486" t="s">
        <v>170</v>
      </c>
      <c r="C486" t="s">
        <v>626</v>
      </c>
      <c r="D486" s="2">
        <v>1</v>
      </c>
      <c r="E486" s="1">
        <v>42357</v>
      </c>
      <c r="F486" s="3">
        <v>0.79348379629629628</v>
      </c>
      <c r="G486">
        <v>12</v>
      </c>
      <c r="H486">
        <v>12</v>
      </c>
      <c r="I486" t="s">
        <v>45</v>
      </c>
      <c r="J486" t="s">
        <v>15</v>
      </c>
      <c r="K486" t="s">
        <v>172</v>
      </c>
      <c r="L486" t="s">
        <v>173</v>
      </c>
    </row>
    <row r="487" spans="1:12" x14ac:dyDescent="0.2">
      <c r="A487">
        <v>486</v>
      </c>
      <c r="B487" t="s">
        <v>407</v>
      </c>
      <c r="C487" t="s">
        <v>627</v>
      </c>
      <c r="D487" s="2">
        <v>1</v>
      </c>
      <c r="E487" s="1">
        <v>42357</v>
      </c>
      <c r="F487" s="3">
        <v>0.88604166666666662</v>
      </c>
      <c r="G487">
        <v>14.75</v>
      </c>
      <c r="H487">
        <v>14.75</v>
      </c>
      <c r="I487" t="s">
        <v>14</v>
      </c>
      <c r="J487" t="s">
        <v>26</v>
      </c>
      <c r="K487" t="s">
        <v>60</v>
      </c>
      <c r="L487" t="s">
        <v>61</v>
      </c>
    </row>
    <row r="488" spans="1:12" x14ac:dyDescent="0.2">
      <c r="A488">
        <v>487</v>
      </c>
      <c r="B488" t="s">
        <v>583</v>
      </c>
      <c r="C488" t="s">
        <v>628</v>
      </c>
      <c r="D488" s="2">
        <v>1</v>
      </c>
      <c r="E488" s="1">
        <v>42358</v>
      </c>
      <c r="F488" s="3">
        <v>0.55677083333333333</v>
      </c>
      <c r="G488">
        <v>16.75</v>
      </c>
      <c r="H488">
        <v>16.75</v>
      </c>
      <c r="I488" t="s">
        <v>14</v>
      </c>
      <c r="J488" t="s">
        <v>21</v>
      </c>
      <c r="K488" t="s">
        <v>92</v>
      </c>
      <c r="L488" t="s">
        <v>93</v>
      </c>
    </row>
    <row r="489" spans="1:12" x14ac:dyDescent="0.2">
      <c r="A489">
        <v>488</v>
      </c>
      <c r="B489" t="s">
        <v>276</v>
      </c>
      <c r="C489" t="s">
        <v>629</v>
      </c>
      <c r="D489" s="2">
        <v>1</v>
      </c>
      <c r="E489" s="1">
        <v>42359</v>
      </c>
      <c r="F489" s="3">
        <v>0.61518518518518517</v>
      </c>
      <c r="G489">
        <v>16</v>
      </c>
      <c r="H489">
        <v>16</v>
      </c>
      <c r="I489" t="s">
        <v>14</v>
      </c>
      <c r="J489" t="s">
        <v>15</v>
      </c>
      <c r="K489" t="s">
        <v>184</v>
      </c>
      <c r="L489" t="s">
        <v>185</v>
      </c>
    </row>
    <row r="490" spans="1:12" x14ac:dyDescent="0.2">
      <c r="A490">
        <v>489</v>
      </c>
      <c r="B490" t="s">
        <v>155</v>
      </c>
      <c r="C490" t="s">
        <v>630</v>
      </c>
      <c r="D490" s="2">
        <v>1</v>
      </c>
      <c r="E490" s="1">
        <v>42359</v>
      </c>
      <c r="F490" s="3">
        <v>0.62266203703703704</v>
      </c>
      <c r="G490">
        <v>16.5</v>
      </c>
      <c r="H490">
        <v>16.5</v>
      </c>
      <c r="I490" t="s">
        <v>14</v>
      </c>
      <c r="J490" t="s">
        <v>31</v>
      </c>
      <c r="K490" t="s">
        <v>46</v>
      </c>
      <c r="L490" t="s">
        <v>47</v>
      </c>
    </row>
    <row r="491" spans="1:12" x14ac:dyDescent="0.2">
      <c r="A491">
        <v>490</v>
      </c>
      <c r="B491" t="s">
        <v>405</v>
      </c>
      <c r="C491" t="s">
        <v>631</v>
      </c>
      <c r="D491" s="2">
        <v>1</v>
      </c>
      <c r="E491" s="1">
        <v>42359</v>
      </c>
      <c r="F491" s="3">
        <v>0.65244212962962966</v>
      </c>
      <c r="G491">
        <v>20.5</v>
      </c>
      <c r="H491">
        <v>20.5</v>
      </c>
      <c r="I491" t="s">
        <v>20</v>
      </c>
      <c r="J491" t="s">
        <v>15</v>
      </c>
      <c r="K491" t="s">
        <v>16</v>
      </c>
      <c r="L491" t="s">
        <v>17</v>
      </c>
    </row>
    <row r="492" spans="1:12" x14ac:dyDescent="0.2">
      <c r="A492">
        <v>491</v>
      </c>
      <c r="B492" t="s">
        <v>238</v>
      </c>
      <c r="C492" t="s">
        <v>632</v>
      </c>
      <c r="D492" s="2">
        <v>1</v>
      </c>
      <c r="E492" s="1">
        <v>42359</v>
      </c>
      <c r="F492" s="3">
        <v>0.72217592592592594</v>
      </c>
      <c r="G492">
        <v>20.25</v>
      </c>
      <c r="H492">
        <v>20.25</v>
      </c>
      <c r="I492" t="s">
        <v>20</v>
      </c>
      <c r="J492" t="s">
        <v>26</v>
      </c>
      <c r="K492" t="s">
        <v>56</v>
      </c>
      <c r="L492" t="s">
        <v>57</v>
      </c>
    </row>
    <row r="493" spans="1:12" x14ac:dyDescent="0.2">
      <c r="A493">
        <v>492</v>
      </c>
      <c r="B493" t="s">
        <v>560</v>
      </c>
      <c r="C493" t="s">
        <v>633</v>
      </c>
      <c r="D493" s="2">
        <v>1</v>
      </c>
      <c r="E493" s="1">
        <v>42360</v>
      </c>
      <c r="F493" s="3">
        <v>0.65128472222222222</v>
      </c>
      <c r="G493">
        <v>17.5</v>
      </c>
      <c r="H493">
        <v>17.5</v>
      </c>
      <c r="I493" t="s">
        <v>20</v>
      </c>
      <c r="J493" t="s">
        <v>15</v>
      </c>
      <c r="K493" t="s">
        <v>368</v>
      </c>
      <c r="L493" t="s">
        <v>369</v>
      </c>
    </row>
    <row r="494" spans="1:12" x14ac:dyDescent="0.2">
      <c r="A494">
        <v>493</v>
      </c>
      <c r="B494" t="s">
        <v>24</v>
      </c>
      <c r="C494" t="s">
        <v>634</v>
      </c>
      <c r="D494" s="2">
        <v>1</v>
      </c>
      <c r="E494" s="1">
        <v>42361</v>
      </c>
      <c r="F494" s="3">
        <v>0.48807870370370371</v>
      </c>
      <c r="G494">
        <v>18.5</v>
      </c>
      <c r="H494">
        <v>18.5</v>
      </c>
      <c r="I494" t="s">
        <v>20</v>
      </c>
      <c r="J494" t="s">
        <v>26</v>
      </c>
      <c r="K494" t="s">
        <v>27</v>
      </c>
      <c r="L494" t="s">
        <v>28</v>
      </c>
    </row>
    <row r="495" spans="1:12" x14ac:dyDescent="0.2">
      <c r="A495">
        <v>494</v>
      </c>
      <c r="B495" t="s">
        <v>48</v>
      </c>
      <c r="C495" t="s">
        <v>635</v>
      </c>
      <c r="D495" s="2">
        <v>1</v>
      </c>
      <c r="E495" s="1">
        <v>42366</v>
      </c>
      <c r="F495" s="3">
        <v>0.51107638888888884</v>
      </c>
      <c r="G495">
        <v>20.75</v>
      </c>
      <c r="H495">
        <v>20.75</v>
      </c>
      <c r="I495" t="s">
        <v>20</v>
      </c>
      <c r="J495" t="s">
        <v>31</v>
      </c>
      <c r="K495" t="s">
        <v>50</v>
      </c>
      <c r="L495" t="s">
        <v>51</v>
      </c>
    </row>
    <row r="496" spans="1:12" x14ac:dyDescent="0.2">
      <c r="A496">
        <v>495</v>
      </c>
      <c r="B496" t="s">
        <v>39</v>
      </c>
      <c r="C496" t="s">
        <v>193</v>
      </c>
      <c r="D496" s="2">
        <v>1</v>
      </c>
      <c r="E496" s="1">
        <v>42366</v>
      </c>
      <c r="F496" s="3">
        <v>0.52156250000000004</v>
      </c>
      <c r="G496">
        <v>15.25</v>
      </c>
      <c r="H496">
        <v>15.25</v>
      </c>
      <c r="I496" t="s">
        <v>20</v>
      </c>
      <c r="J496" t="s">
        <v>15</v>
      </c>
      <c r="K496" t="s">
        <v>41</v>
      </c>
      <c r="L496" t="s">
        <v>42</v>
      </c>
    </row>
    <row r="497" spans="1:12" x14ac:dyDescent="0.2">
      <c r="A497">
        <v>496</v>
      </c>
      <c r="B497" t="s">
        <v>182</v>
      </c>
      <c r="C497" t="s">
        <v>636</v>
      </c>
      <c r="D497" s="2">
        <v>1</v>
      </c>
      <c r="E497" s="1">
        <v>42366</v>
      </c>
      <c r="F497" s="3">
        <v>0.53814814814814815</v>
      </c>
      <c r="G497">
        <v>12</v>
      </c>
      <c r="H497">
        <v>12</v>
      </c>
      <c r="I497" t="s">
        <v>45</v>
      </c>
      <c r="J497" t="s">
        <v>15</v>
      </c>
      <c r="K497" t="s">
        <v>184</v>
      </c>
      <c r="L497" t="s">
        <v>185</v>
      </c>
    </row>
    <row r="498" spans="1:12" x14ac:dyDescent="0.2">
      <c r="A498">
        <v>497</v>
      </c>
      <c r="B498" t="s">
        <v>175</v>
      </c>
      <c r="C498" t="s">
        <v>637</v>
      </c>
      <c r="D498" s="2">
        <v>1</v>
      </c>
      <c r="E498" s="1">
        <v>42366</v>
      </c>
      <c r="F498" s="3">
        <v>0.64496527777777779</v>
      </c>
      <c r="G498">
        <v>12</v>
      </c>
      <c r="H498">
        <v>12</v>
      </c>
      <c r="I498" t="s">
        <v>45</v>
      </c>
      <c r="J498" t="s">
        <v>15</v>
      </c>
      <c r="K498" t="s">
        <v>16</v>
      </c>
      <c r="L498" t="s">
        <v>17</v>
      </c>
    </row>
    <row r="499" spans="1:12" x14ac:dyDescent="0.2">
      <c r="A499">
        <v>498</v>
      </c>
      <c r="B499" t="s">
        <v>366</v>
      </c>
      <c r="C499" t="s">
        <v>517</v>
      </c>
      <c r="D499" s="2">
        <v>1</v>
      </c>
      <c r="E499" s="1">
        <v>42366</v>
      </c>
      <c r="F499" s="3">
        <v>0.71403935185185186</v>
      </c>
      <c r="G499">
        <v>14.5</v>
      </c>
      <c r="H499">
        <v>14.5</v>
      </c>
      <c r="I499" t="s">
        <v>14</v>
      </c>
      <c r="J499" t="s">
        <v>15</v>
      </c>
      <c r="K499" t="s">
        <v>368</v>
      </c>
      <c r="L499" t="s">
        <v>369</v>
      </c>
    </row>
    <row r="500" spans="1:12" x14ac:dyDescent="0.2">
      <c r="A500">
        <v>499</v>
      </c>
      <c r="B500" t="s">
        <v>126</v>
      </c>
      <c r="C500" t="s">
        <v>638</v>
      </c>
      <c r="D500" s="2">
        <v>1</v>
      </c>
      <c r="E500" s="1">
        <v>42366</v>
      </c>
      <c r="F500" s="3">
        <v>0.75876157407407407</v>
      </c>
      <c r="G500">
        <v>10.5</v>
      </c>
      <c r="H500">
        <v>10.5</v>
      </c>
      <c r="I500" t="s">
        <v>45</v>
      </c>
      <c r="J500" t="s">
        <v>15</v>
      </c>
      <c r="K500" t="s">
        <v>107</v>
      </c>
      <c r="L500" t="s">
        <v>108</v>
      </c>
    </row>
    <row r="501" spans="1:12" x14ac:dyDescent="0.2">
      <c r="A501">
        <v>500</v>
      </c>
      <c r="B501" t="s">
        <v>126</v>
      </c>
      <c r="C501" t="s">
        <v>638</v>
      </c>
      <c r="D501" s="2">
        <v>100</v>
      </c>
      <c r="E501" s="1">
        <v>42366</v>
      </c>
      <c r="F501" s="3">
        <v>0.75876157407407407</v>
      </c>
      <c r="G501">
        <v>10.5</v>
      </c>
      <c r="H501">
        <v>1050</v>
      </c>
      <c r="I501" t="s">
        <v>45</v>
      </c>
      <c r="J501" t="s">
        <v>15</v>
      </c>
      <c r="K501" t="s">
        <v>107</v>
      </c>
      <c r="L501" t="s">
        <v>108</v>
      </c>
    </row>
    <row r="502" spans="1:12" x14ac:dyDescent="0.2">
      <c r="A502">
        <v>448</v>
      </c>
      <c r="B502" t="s">
        <v>111</v>
      </c>
      <c r="C502" t="s">
        <v>593</v>
      </c>
      <c r="D502" s="2">
        <v>50</v>
      </c>
      <c r="E502" s="1">
        <v>42334</v>
      </c>
      <c r="F502" s="3">
        <v>0.80702546296296296</v>
      </c>
      <c r="G502">
        <v>20.75</v>
      </c>
      <c r="H502">
        <v>41.5</v>
      </c>
      <c r="I502" t="s">
        <v>20</v>
      </c>
      <c r="J502" t="s">
        <v>21</v>
      </c>
      <c r="K502" t="s">
        <v>81</v>
      </c>
      <c r="L502" t="s">
        <v>82</v>
      </c>
    </row>
  </sheetData>
  <sheetProtection autoFilter="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AA219-D532-4590-B9F0-B2146D0812BB}">
  <sheetPr>
    <tabColor theme="5" tint="-0.499984740745262"/>
  </sheetPr>
  <dimension ref="B7:T516"/>
  <sheetViews>
    <sheetView showGridLines="0" zoomScale="89" zoomScaleNormal="89" workbookViewId="0">
      <selection activeCell="H13" sqref="H13"/>
    </sheetView>
  </sheetViews>
  <sheetFormatPr defaultRowHeight="14.25" x14ac:dyDescent="0.2"/>
  <cols>
    <col min="2" max="2" width="16.75" bestFit="1" customWidth="1"/>
    <col min="3" max="3" width="25.125" bestFit="1" customWidth="1"/>
    <col min="4" max="4" width="17.5" bestFit="1" customWidth="1"/>
    <col min="8" max="8" width="15.125" bestFit="1" customWidth="1"/>
    <col min="9" max="9" width="13.625" bestFit="1" customWidth="1"/>
    <col min="10" max="10" width="17.5" bestFit="1" customWidth="1"/>
    <col min="11" max="11" width="9.125" bestFit="1" customWidth="1"/>
    <col min="12" max="12" width="7.25" bestFit="1" customWidth="1"/>
    <col min="13" max="13" width="11.5" bestFit="1" customWidth="1"/>
    <col min="14" max="14" width="13.125" style="8" bestFit="1" customWidth="1"/>
    <col min="15" max="15" width="17.125" bestFit="1" customWidth="1"/>
    <col min="16" max="17" width="9.875" bestFit="1" customWidth="1"/>
    <col min="18" max="18" width="16.75" bestFit="1" customWidth="1"/>
    <col min="19" max="19" width="4.875" bestFit="1" customWidth="1"/>
    <col min="20" max="20" width="16.125" bestFit="1" customWidth="1"/>
    <col min="21" max="21" width="7.25" bestFit="1" customWidth="1"/>
    <col min="22" max="22" width="8.875" bestFit="1" customWidth="1"/>
    <col min="23" max="23" width="7" bestFit="1" customWidth="1"/>
    <col min="24" max="24" width="11.375" bestFit="1" customWidth="1"/>
    <col min="25" max="28" width="9.875" bestFit="1" customWidth="1"/>
    <col min="29" max="29" width="25" bestFit="1" customWidth="1"/>
    <col min="30" max="30" width="17.125" bestFit="1" customWidth="1"/>
    <col min="31" max="31" width="7" bestFit="1" customWidth="1"/>
    <col min="32" max="32" width="5.625" bestFit="1" customWidth="1"/>
    <col min="33" max="34" width="11.375" bestFit="1" customWidth="1"/>
    <col min="35" max="38" width="9.875" bestFit="1" customWidth="1"/>
    <col min="39" max="39" width="13.125" bestFit="1" customWidth="1"/>
    <col min="40" max="40" width="17.125" bestFit="1" customWidth="1"/>
    <col min="41" max="45" width="9.875" bestFit="1" customWidth="1"/>
    <col min="46" max="46" width="16.5" bestFit="1" customWidth="1"/>
    <col min="47" max="47" width="14.625" bestFit="1" customWidth="1"/>
    <col min="48" max="48" width="17.125" bestFit="1" customWidth="1"/>
    <col min="49" max="53" width="9.875" bestFit="1" customWidth="1"/>
    <col min="54" max="54" width="13.125" bestFit="1" customWidth="1"/>
    <col min="55" max="55" width="17.125" bestFit="1" customWidth="1"/>
    <col min="56" max="61" width="9.875" bestFit="1" customWidth="1"/>
    <col min="62" max="62" width="13.125" bestFit="1" customWidth="1"/>
    <col min="63" max="63" width="14.625" bestFit="1" customWidth="1"/>
    <col min="64" max="64" width="9.75" bestFit="1" customWidth="1"/>
    <col min="65" max="81" width="9.875" bestFit="1" customWidth="1"/>
    <col min="82" max="82" width="9.75" bestFit="1" customWidth="1"/>
    <col min="83" max="99" width="9.875" bestFit="1" customWidth="1"/>
    <col min="100" max="100" width="9.75" bestFit="1" customWidth="1"/>
    <col min="101" max="143" width="9.875" bestFit="1" customWidth="1"/>
    <col min="144" max="144" width="9.75" bestFit="1" customWidth="1"/>
    <col min="145" max="169" width="9.875" bestFit="1" customWidth="1"/>
    <col min="170" max="170" width="9.75" bestFit="1" customWidth="1"/>
    <col min="171" max="193" width="9.875" bestFit="1" customWidth="1"/>
    <col min="194" max="194" width="9.75" bestFit="1" customWidth="1"/>
    <col min="195" max="231" width="9.875" bestFit="1" customWidth="1"/>
    <col min="232" max="253" width="9.75" bestFit="1" customWidth="1"/>
    <col min="254" max="261" width="9.875" bestFit="1" customWidth="1"/>
    <col min="262" max="262" width="9.75" bestFit="1" customWidth="1"/>
    <col min="263" max="275" width="9.875" bestFit="1" customWidth="1"/>
    <col min="276" max="276" width="11.375" bestFit="1" customWidth="1"/>
  </cols>
  <sheetData>
    <row r="7" spans="3:20" x14ac:dyDescent="0.2">
      <c r="T7" s="12">
        <f>GETPIVOTDATA("[Measures].[Total customers]",$B$141)</f>
        <v>466</v>
      </c>
    </row>
    <row r="8" spans="3:20" x14ac:dyDescent="0.2">
      <c r="T8" s="12">
        <f>GETPIVOTDATA("[Measures].[Total sales]",$B$141)</f>
        <v>9527.5499999999993</v>
      </c>
    </row>
    <row r="9" spans="3:20" x14ac:dyDescent="0.2">
      <c r="T9" s="12">
        <f>GETPIVOTDATA("[Measures].[Total Quantity]",$B$141)</f>
        <v>661</v>
      </c>
    </row>
    <row r="10" spans="3:20" x14ac:dyDescent="0.2">
      <c r="T10" s="12">
        <f>GETPIVOTDATA("[Measures].[sales per customer]",$B$141)</f>
        <v>20.44538626609442</v>
      </c>
    </row>
    <row r="11" spans="3:20" x14ac:dyDescent="0.2">
      <c r="T11" s="12">
        <f>GETPIVOTDATA("[Measures].[sales per quantity]",$B$141)</f>
        <v>14.413842662632375</v>
      </c>
    </row>
    <row r="13" spans="3:20" x14ac:dyDescent="0.2">
      <c r="C13" s="4" t="s">
        <v>639</v>
      </c>
      <c r="D13" t="s">
        <v>641</v>
      </c>
      <c r="H13" s="4" t="s">
        <v>639</v>
      </c>
      <c r="I13" t="s">
        <v>641</v>
      </c>
    </row>
    <row r="14" spans="3:20" x14ac:dyDescent="0.2">
      <c r="C14" s="5" t="s">
        <v>466</v>
      </c>
      <c r="D14" s="2">
        <v>40.5</v>
      </c>
      <c r="H14" s="5" t="s">
        <v>642</v>
      </c>
      <c r="I14" s="2">
        <v>578.4</v>
      </c>
    </row>
    <row r="15" spans="3:20" x14ac:dyDescent="0.2">
      <c r="C15" s="5" t="s">
        <v>30</v>
      </c>
      <c r="D15" s="2">
        <v>41</v>
      </c>
      <c r="H15" s="5" t="s">
        <v>643</v>
      </c>
      <c r="I15" s="2">
        <v>527.70000000000005</v>
      </c>
    </row>
    <row r="16" spans="3:20" x14ac:dyDescent="0.2">
      <c r="C16" s="5" t="s">
        <v>119</v>
      </c>
      <c r="D16" s="2">
        <v>41.5</v>
      </c>
      <c r="H16" s="5" t="s">
        <v>644</v>
      </c>
      <c r="I16" s="2">
        <v>519.65</v>
      </c>
    </row>
    <row r="17" spans="3:9" x14ac:dyDescent="0.2">
      <c r="C17" s="5" t="s">
        <v>246</v>
      </c>
      <c r="D17" s="2">
        <v>41.5</v>
      </c>
      <c r="H17" s="5" t="s">
        <v>645</v>
      </c>
      <c r="I17" s="2">
        <v>630.70000000000005</v>
      </c>
    </row>
    <row r="18" spans="3:9" x14ac:dyDescent="0.2">
      <c r="C18" s="5" t="s">
        <v>260</v>
      </c>
      <c r="D18" s="2">
        <v>45.75</v>
      </c>
      <c r="H18" s="5" t="s">
        <v>646</v>
      </c>
      <c r="I18" s="2">
        <v>832.35</v>
      </c>
    </row>
    <row r="19" spans="3:9" x14ac:dyDescent="0.2">
      <c r="C19" s="5" t="s">
        <v>269</v>
      </c>
      <c r="D19" s="2">
        <v>48</v>
      </c>
      <c r="H19" s="5" t="s">
        <v>647</v>
      </c>
      <c r="I19" s="2">
        <v>859.15</v>
      </c>
    </row>
    <row r="20" spans="3:9" x14ac:dyDescent="0.2">
      <c r="C20" s="5" t="s">
        <v>194</v>
      </c>
      <c r="D20" s="2">
        <v>48</v>
      </c>
      <c r="H20" s="5" t="s">
        <v>648</v>
      </c>
      <c r="I20" s="2">
        <v>779.95</v>
      </c>
    </row>
    <row r="21" spans="3:9" x14ac:dyDescent="0.2">
      <c r="C21" s="5" t="s">
        <v>379</v>
      </c>
      <c r="D21" s="2">
        <v>53</v>
      </c>
      <c r="H21" s="5" t="s">
        <v>649</v>
      </c>
      <c r="I21" s="2">
        <v>858.25</v>
      </c>
    </row>
    <row r="22" spans="3:9" x14ac:dyDescent="0.2">
      <c r="C22" s="5" t="s">
        <v>593</v>
      </c>
      <c r="D22" s="2">
        <v>83</v>
      </c>
      <c r="H22" s="5" t="s">
        <v>650</v>
      </c>
      <c r="I22" s="2">
        <v>802.65</v>
      </c>
    </row>
    <row r="23" spans="3:9" x14ac:dyDescent="0.2">
      <c r="C23" s="5" t="s">
        <v>638</v>
      </c>
      <c r="D23" s="2">
        <v>1060.5</v>
      </c>
      <c r="H23" s="5" t="s">
        <v>651</v>
      </c>
      <c r="I23" s="2">
        <v>713.5</v>
      </c>
    </row>
    <row r="24" spans="3:9" x14ac:dyDescent="0.2">
      <c r="C24" s="5" t="s">
        <v>640</v>
      </c>
      <c r="D24" s="2">
        <v>1502.75</v>
      </c>
      <c r="H24" s="5" t="s">
        <v>652</v>
      </c>
      <c r="I24" s="2">
        <v>638.6</v>
      </c>
    </row>
    <row r="25" spans="3:9" x14ac:dyDescent="0.2">
      <c r="H25" s="5" t="s">
        <v>653</v>
      </c>
      <c r="I25" s="2">
        <v>1786.65</v>
      </c>
    </row>
    <row r="26" spans="3:9" x14ac:dyDescent="0.2">
      <c r="H26" s="5" t="s">
        <v>640</v>
      </c>
      <c r="I26" s="2">
        <v>9527.5499999999993</v>
      </c>
    </row>
    <row r="44" spans="3:14" x14ac:dyDescent="0.2">
      <c r="C44" s="9" t="s">
        <v>639</v>
      </c>
      <c r="D44" t="s">
        <v>641</v>
      </c>
      <c r="N44"/>
    </row>
    <row r="45" spans="3:14" x14ac:dyDescent="0.2">
      <c r="C45" s="7" t="s">
        <v>654</v>
      </c>
      <c r="D45" s="2">
        <v>445.6</v>
      </c>
      <c r="N45"/>
    </row>
    <row r="46" spans="3:14" x14ac:dyDescent="0.2">
      <c r="C46" s="7" t="s">
        <v>655</v>
      </c>
      <c r="D46" s="2">
        <v>920.1</v>
      </c>
      <c r="N46"/>
    </row>
    <row r="47" spans="3:14" x14ac:dyDescent="0.2">
      <c r="C47" s="7" t="s">
        <v>656</v>
      </c>
      <c r="D47" s="2">
        <v>991.45</v>
      </c>
      <c r="N47"/>
    </row>
    <row r="48" spans="3:14" x14ac:dyDescent="0.2">
      <c r="C48" s="7" t="s">
        <v>661</v>
      </c>
      <c r="D48" s="2">
        <v>679.6</v>
      </c>
      <c r="N48"/>
    </row>
    <row r="49" spans="3:14" x14ac:dyDescent="0.2">
      <c r="C49" s="7" t="s">
        <v>657</v>
      </c>
      <c r="D49" s="2">
        <v>557.45000000000005</v>
      </c>
      <c r="H49" s="4" t="s">
        <v>667</v>
      </c>
      <c r="I49" s="4" t="s">
        <v>666</v>
      </c>
      <c r="N49"/>
    </row>
    <row r="50" spans="3:14" x14ac:dyDescent="0.2">
      <c r="C50" s="7" t="s">
        <v>658</v>
      </c>
      <c r="D50" s="2">
        <v>662</v>
      </c>
      <c r="H50" s="4" t="s">
        <v>639</v>
      </c>
      <c r="I50" t="s">
        <v>21</v>
      </c>
      <c r="J50" t="s">
        <v>15</v>
      </c>
      <c r="K50" t="s">
        <v>31</v>
      </c>
      <c r="L50" t="s">
        <v>26</v>
      </c>
      <c r="M50" t="s">
        <v>640</v>
      </c>
      <c r="N50"/>
    </row>
    <row r="51" spans="3:14" x14ac:dyDescent="0.2">
      <c r="C51" s="7" t="s">
        <v>659</v>
      </c>
      <c r="D51" s="2">
        <v>1197.45</v>
      </c>
      <c r="H51" s="5" t="s">
        <v>45</v>
      </c>
      <c r="I51" s="2">
        <v>19</v>
      </c>
      <c r="J51" s="2">
        <v>167</v>
      </c>
      <c r="K51" s="2">
        <v>40</v>
      </c>
      <c r="L51" s="2">
        <v>30</v>
      </c>
      <c r="M51" s="2">
        <v>256</v>
      </c>
      <c r="N51"/>
    </row>
    <row r="52" spans="3:14" x14ac:dyDescent="0.2">
      <c r="C52" s="7" t="s">
        <v>665</v>
      </c>
      <c r="D52" s="2">
        <v>1959.3</v>
      </c>
      <c r="H52" s="5" t="s">
        <v>20</v>
      </c>
      <c r="I52" s="2">
        <v>103</v>
      </c>
      <c r="J52" s="2">
        <v>37</v>
      </c>
      <c r="K52" s="2">
        <v>44</v>
      </c>
      <c r="L52" s="2">
        <v>68</v>
      </c>
      <c r="M52" s="2">
        <v>252</v>
      </c>
      <c r="N52"/>
    </row>
    <row r="53" spans="3:14" x14ac:dyDescent="0.2">
      <c r="C53" s="7" t="s">
        <v>662</v>
      </c>
      <c r="D53" s="2">
        <v>954.3</v>
      </c>
      <c r="H53" s="5" t="s">
        <v>14</v>
      </c>
      <c r="I53" s="2">
        <v>24</v>
      </c>
      <c r="J53" s="2">
        <v>37</v>
      </c>
      <c r="K53" s="2">
        <v>38</v>
      </c>
      <c r="L53" s="2">
        <v>43</v>
      </c>
      <c r="M53" s="2">
        <v>142</v>
      </c>
      <c r="N53"/>
    </row>
    <row r="54" spans="3:14" x14ac:dyDescent="0.2">
      <c r="C54" s="7" t="s">
        <v>660</v>
      </c>
      <c r="D54" s="2">
        <v>439.6</v>
      </c>
      <c r="H54" s="5" t="s">
        <v>36</v>
      </c>
      <c r="I54" s="2"/>
      <c r="J54" s="2">
        <v>11</v>
      </c>
      <c r="K54" s="2"/>
      <c r="L54" s="2"/>
      <c r="M54" s="2">
        <v>11</v>
      </c>
      <c r="N54"/>
    </row>
    <row r="55" spans="3:14" x14ac:dyDescent="0.2">
      <c r="C55" s="7" t="s">
        <v>664</v>
      </c>
      <c r="D55" s="2">
        <v>478.7</v>
      </c>
      <c r="H55" s="5" t="s">
        <v>640</v>
      </c>
      <c r="I55" s="2">
        <v>146</v>
      </c>
      <c r="J55" s="2">
        <v>252</v>
      </c>
      <c r="K55" s="2">
        <v>122</v>
      </c>
      <c r="L55" s="2">
        <v>141</v>
      </c>
      <c r="M55" s="2">
        <v>661</v>
      </c>
    </row>
    <row r="56" spans="3:14" x14ac:dyDescent="0.2">
      <c r="C56" s="7" t="s">
        <v>663</v>
      </c>
      <c r="D56" s="2">
        <v>204.5</v>
      </c>
    </row>
    <row r="57" spans="3:14" x14ac:dyDescent="0.2">
      <c r="C57" s="7" t="s">
        <v>674</v>
      </c>
      <c r="D57" s="2">
        <v>37.5</v>
      </c>
    </row>
    <row r="58" spans="3:14" x14ac:dyDescent="0.2">
      <c r="C58" s="7" t="s">
        <v>640</v>
      </c>
      <c r="D58" s="2">
        <v>9527.5499999999993</v>
      </c>
    </row>
    <row r="79" spans="3:10" x14ac:dyDescent="0.2">
      <c r="C79" s="4" t="s">
        <v>639</v>
      </c>
      <c r="D79" t="s">
        <v>641</v>
      </c>
    </row>
    <row r="80" spans="3:10" x14ac:dyDescent="0.2">
      <c r="C80" s="5" t="s">
        <v>82</v>
      </c>
      <c r="D80" s="6">
        <v>425.25</v>
      </c>
      <c r="I80" s="4" t="s">
        <v>639</v>
      </c>
      <c r="J80" t="s">
        <v>641</v>
      </c>
    </row>
    <row r="81" spans="3:14" x14ac:dyDescent="0.2">
      <c r="C81" s="5" t="s">
        <v>104</v>
      </c>
      <c r="D81" s="6">
        <v>428.5</v>
      </c>
      <c r="I81" s="5" t="s">
        <v>15</v>
      </c>
      <c r="J81" s="2">
        <v>3324.75</v>
      </c>
    </row>
    <row r="82" spans="3:14" x14ac:dyDescent="0.2">
      <c r="C82" s="5" t="s">
        <v>61</v>
      </c>
      <c r="D82" s="6">
        <v>432.75</v>
      </c>
      <c r="I82" s="5" t="s">
        <v>26</v>
      </c>
      <c r="J82" s="2">
        <v>2365.25</v>
      </c>
    </row>
    <row r="83" spans="3:14" x14ac:dyDescent="0.2">
      <c r="C83" s="5" t="s">
        <v>17</v>
      </c>
      <c r="D83" s="6">
        <v>459</v>
      </c>
      <c r="I83" s="5" t="s">
        <v>31</v>
      </c>
      <c r="J83" s="2">
        <v>2052.0500000000002</v>
      </c>
      <c r="N83"/>
    </row>
    <row r="84" spans="3:14" x14ac:dyDescent="0.2">
      <c r="C84" s="5" t="s">
        <v>108</v>
      </c>
      <c r="D84" s="6">
        <v>1311.5</v>
      </c>
      <c r="I84" s="5" t="s">
        <v>21</v>
      </c>
      <c r="J84" s="2">
        <v>1785.5</v>
      </c>
      <c r="N84"/>
    </row>
    <row r="85" spans="3:14" x14ac:dyDescent="0.2">
      <c r="C85" s="5" t="s">
        <v>640</v>
      </c>
      <c r="D85" s="6">
        <v>3057</v>
      </c>
      <c r="I85" s="5" t="s">
        <v>640</v>
      </c>
      <c r="J85" s="2">
        <v>9527.5499999999993</v>
      </c>
    </row>
    <row r="91" spans="3:14" x14ac:dyDescent="0.2">
      <c r="N91"/>
    </row>
    <row r="92" spans="3:14" x14ac:dyDescent="0.2">
      <c r="N92"/>
    </row>
    <row r="93" spans="3:14" x14ac:dyDescent="0.2">
      <c r="N93"/>
    </row>
    <row r="94" spans="3:14" x14ac:dyDescent="0.2">
      <c r="N94"/>
    </row>
    <row r="95" spans="3:14" x14ac:dyDescent="0.2">
      <c r="N95"/>
    </row>
    <row r="96" spans="3:14" x14ac:dyDescent="0.2">
      <c r="N96"/>
    </row>
    <row r="97" spans="3:14" x14ac:dyDescent="0.2">
      <c r="N97"/>
    </row>
    <row r="98" spans="3:14" x14ac:dyDescent="0.2">
      <c r="N98"/>
    </row>
    <row r="99" spans="3:14" x14ac:dyDescent="0.2">
      <c r="N99"/>
    </row>
    <row r="100" spans="3:14" x14ac:dyDescent="0.2">
      <c r="N100"/>
    </row>
    <row r="101" spans="3:14" x14ac:dyDescent="0.2">
      <c r="N101"/>
    </row>
    <row r="102" spans="3:14" x14ac:dyDescent="0.2">
      <c r="N102"/>
    </row>
    <row r="103" spans="3:14" x14ac:dyDescent="0.2">
      <c r="N103"/>
    </row>
    <row r="104" spans="3:14" x14ac:dyDescent="0.2">
      <c r="N104"/>
    </row>
    <row r="105" spans="3:14" x14ac:dyDescent="0.2">
      <c r="N105"/>
    </row>
    <row r="106" spans="3:14" x14ac:dyDescent="0.2">
      <c r="C106" s="4" t="s">
        <v>639</v>
      </c>
      <c r="D106" t="s">
        <v>667</v>
      </c>
      <c r="H106" s="4" t="s">
        <v>639</v>
      </c>
      <c r="I106" t="s">
        <v>641</v>
      </c>
      <c r="L106" s="4" t="s">
        <v>639</v>
      </c>
      <c r="M106" t="s">
        <v>667</v>
      </c>
      <c r="N106"/>
    </row>
    <row r="107" spans="3:14" x14ac:dyDescent="0.2">
      <c r="C107" s="5" t="s">
        <v>148</v>
      </c>
      <c r="D107" s="2">
        <v>2</v>
      </c>
      <c r="H107" s="5" t="s">
        <v>20</v>
      </c>
      <c r="I107" s="10">
        <v>4046</v>
      </c>
      <c r="L107" s="5" t="s">
        <v>45</v>
      </c>
      <c r="M107" s="2">
        <v>256</v>
      </c>
      <c r="N107"/>
    </row>
    <row r="108" spans="3:14" x14ac:dyDescent="0.2">
      <c r="C108" s="5" t="s">
        <v>80</v>
      </c>
      <c r="D108" s="2">
        <v>2</v>
      </c>
      <c r="H108" s="5" t="s">
        <v>45</v>
      </c>
      <c r="I108" s="10">
        <v>2938.8</v>
      </c>
      <c r="L108" s="5" t="s">
        <v>20</v>
      </c>
      <c r="M108" s="2">
        <v>252</v>
      </c>
      <c r="N108"/>
    </row>
    <row r="109" spans="3:14" x14ac:dyDescent="0.2">
      <c r="C109" s="5" t="s">
        <v>188</v>
      </c>
      <c r="D109" s="2">
        <v>2</v>
      </c>
      <c r="H109" s="5" t="s">
        <v>14</v>
      </c>
      <c r="I109" s="10">
        <v>2262.25</v>
      </c>
      <c r="L109" s="5" t="s">
        <v>14</v>
      </c>
      <c r="M109" s="2">
        <v>142</v>
      </c>
      <c r="N109"/>
    </row>
    <row r="110" spans="3:14" x14ac:dyDescent="0.2">
      <c r="C110" s="5" t="s">
        <v>401</v>
      </c>
      <c r="D110" s="2">
        <v>2</v>
      </c>
      <c r="H110" s="5" t="s">
        <v>36</v>
      </c>
      <c r="I110" s="10">
        <v>280.5</v>
      </c>
      <c r="L110" s="5" t="s">
        <v>36</v>
      </c>
      <c r="M110" s="2">
        <v>11</v>
      </c>
      <c r="N110"/>
    </row>
    <row r="111" spans="3:14" x14ac:dyDescent="0.2">
      <c r="C111" s="5" t="s">
        <v>404</v>
      </c>
      <c r="D111" s="2">
        <v>2</v>
      </c>
      <c r="H111" s="5" t="s">
        <v>640</v>
      </c>
      <c r="I111" s="10">
        <v>9527.5499999999993</v>
      </c>
      <c r="L111" s="5" t="s">
        <v>640</v>
      </c>
      <c r="M111" s="2">
        <v>661</v>
      </c>
      <c r="N111"/>
    </row>
    <row r="112" spans="3:14" x14ac:dyDescent="0.2">
      <c r="C112" s="5" t="s">
        <v>379</v>
      </c>
      <c r="D112" s="2">
        <v>3</v>
      </c>
      <c r="N112"/>
    </row>
    <row r="113" spans="3:14" x14ac:dyDescent="0.2">
      <c r="C113" s="5" t="s">
        <v>194</v>
      </c>
      <c r="D113" s="2">
        <v>3</v>
      </c>
      <c r="N113"/>
    </row>
    <row r="114" spans="3:14" x14ac:dyDescent="0.2">
      <c r="C114" s="5" t="s">
        <v>269</v>
      </c>
      <c r="D114" s="2">
        <v>4</v>
      </c>
      <c r="N114"/>
    </row>
    <row r="115" spans="3:14" x14ac:dyDescent="0.2">
      <c r="C115" s="5" t="s">
        <v>593</v>
      </c>
      <c r="D115" s="2">
        <v>52</v>
      </c>
      <c r="N115"/>
    </row>
    <row r="116" spans="3:14" x14ac:dyDescent="0.2">
      <c r="C116" s="5" t="s">
        <v>638</v>
      </c>
      <c r="D116" s="2">
        <v>101</v>
      </c>
      <c r="N116"/>
    </row>
    <row r="117" spans="3:14" x14ac:dyDescent="0.2">
      <c r="C117" s="5" t="s">
        <v>640</v>
      </c>
      <c r="D117" s="2">
        <v>173</v>
      </c>
      <c r="N117"/>
    </row>
    <row r="118" spans="3:14" x14ac:dyDescent="0.2">
      <c r="N118"/>
    </row>
    <row r="119" spans="3:14" x14ac:dyDescent="0.2">
      <c r="N119"/>
    </row>
    <row r="120" spans="3:14" x14ac:dyDescent="0.2">
      <c r="N120"/>
    </row>
    <row r="121" spans="3:14" x14ac:dyDescent="0.2">
      <c r="N121"/>
    </row>
    <row r="122" spans="3:14" x14ac:dyDescent="0.2">
      <c r="N122"/>
    </row>
    <row r="123" spans="3:14" x14ac:dyDescent="0.2">
      <c r="N123"/>
    </row>
    <row r="124" spans="3:14" x14ac:dyDescent="0.2">
      <c r="N124"/>
    </row>
    <row r="125" spans="3:14" x14ac:dyDescent="0.2">
      <c r="N125"/>
    </row>
    <row r="126" spans="3:14" x14ac:dyDescent="0.2">
      <c r="N126"/>
    </row>
    <row r="127" spans="3:14" x14ac:dyDescent="0.2">
      <c r="N127"/>
    </row>
    <row r="128" spans="3:14" x14ac:dyDescent="0.2">
      <c r="N128"/>
    </row>
    <row r="129" spans="2:14" x14ac:dyDescent="0.2">
      <c r="N129"/>
    </row>
    <row r="130" spans="2:14" x14ac:dyDescent="0.2">
      <c r="N130"/>
    </row>
    <row r="131" spans="2:14" x14ac:dyDescent="0.2">
      <c r="N131"/>
    </row>
    <row r="132" spans="2:14" x14ac:dyDescent="0.2">
      <c r="N132"/>
    </row>
    <row r="133" spans="2:14" x14ac:dyDescent="0.2">
      <c r="N133"/>
    </row>
    <row r="134" spans="2:14" x14ac:dyDescent="0.2">
      <c r="N134"/>
    </row>
    <row r="135" spans="2:14" x14ac:dyDescent="0.2">
      <c r="N135"/>
    </row>
    <row r="136" spans="2:14" x14ac:dyDescent="0.2">
      <c r="N136"/>
    </row>
    <row r="137" spans="2:14" x14ac:dyDescent="0.2">
      <c r="N137"/>
    </row>
    <row r="138" spans="2:14" x14ac:dyDescent="0.2">
      <c r="N138"/>
    </row>
    <row r="139" spans="2:14" x14ac:dyDescent="0.2">
      <c r="N139"/>
    </row>
    <row r="140" spans="2:14" x14ac:dyDescent="0.2">
      <c r="N140"/>
    </row>
    <row r="141" spans="2:14" x14ac:dyDescent="0.2">
      <c r="B141" s="4" t="s">
        <v>670</v>
      </c>
      <c r="N141"/>
    </row>
    <row r="142" spans="2:14" x14ac:dyDescent="0.2">
      <c r="B142" s="5" t="s">
        <v>668</v>
      </c>
      <c r="C142" s="12">
        <v>466</v>
      </c>
      <c r="N142"/>
    </row>
    <row r="143" spans="2:14" x14ac:dyDescent="0.2">
      <c r="B143" s="5" t="s">
        <v>669</v>
      </c>
      <c r="C143" s="14">
        <v>9527.5499999999993</v>
      </c>
      <c r="N143"/>
    </row>
    <row r="144" spans="2:14" x14ac:dyDescent="0.2">
      <c r="B144" s="5" t="s">
        <v>671</v>
      </c>
      <c r="C144" s="12">
        <v>661</v>
      </c>
      <c r="N144"/>
    </row>
    <row r="145" spans="2:14" x14ac:dyDescent="0.2">
      <c r="B145" s="5" t="s">
        <v>672</v>
      </c>
      <c r="C145" s="14">
        <v>20.44538626609442</v>
      </c>
      <c r="N145"/>
    </row>
    <row r="146" spans="2:14" x14ac:dyDescent="0.2">
      <c r="B146" s="5" t="s">
        <v>673</v>
      </c>
      <c r="C146" s="12">
        <v>14.413842662632375</v>
      </c>
      <c r="N146"/>
    </row>
    <row r="147" spans="2:14" x14ac:dyDescent="0.2">
      <c r="N147"/>
    </row>
    <row r="148" spans="2:14" x14ac:dyDescent="0.2">
      <c r="N148"/>
    </row>
    <row r="149" spans="2:14" x14ac:dyDescent="0.2">
      <c r="N149"/>
    </row>
    <row r="150" spans="2:14" x14ac:dyDescent="0.2">
      <c r="N150"/>
    </row>
    <row r="151" spans="2:14" x14ac:dyDescent="0.2">
      <c r="N151"/>
    </row>
    <row r="152" spans="2:14" x14ac:dyDescent="0.2">
      <c r="N152"/>
    </row>
    <row r="153" spans="2:14" x14ac:dyDescent="0.2">
      <c r="N153"/>
    </row>
    <row r="154" spans="2:14" x14ac:dyDescent="0.2">
      <c r="N154"/>
    </row>
    <row r="155" spans="2:14" x14ac:dyDescent="0.2">
      <c r="N155"/>
    </row>
    <row r="156" spans="2:14" x14ac:dyDescent="0.2">
      <c r="N156"/>
    </row>
    <row r="157" spans="2:14" x14ac:dyDescent="0.2">
      <c r="N157"/>
    </row>
    <row r="158" spans="2:14" x14ac:dyDescent="0.2">
      <c r="N158"/>
    </row>
    <row r="159" spans="2:14" x14ac:dyDescent="0.2">
      <c r="N159"/>
    </row>
    <row r="160" spans="2:14" x14ac:dyDescent="0.2">
      <c r="N160"/>
    </row>
    <row r="161" spans="14:14" x14ac:dyDescent="0.2">
      <c r="N161"/>
    </row>
    <row r="162" spans="14:14" x14ac:dyDescent="0.2">
      <c r="N162"/>
    </row>
    <row r="163" spans="14:14" x14ac:dyDescent="0.2">
      <c r="N163"/>
    </row>
    <row r="164" spans="14:14" x14ac:dyDescent="0.2">
      <c r="N164"/>
    </row>
    <row r="165" spans="14:14" x14ac:dyDescent="0.2">
      <c r="N165"/>
    </row>
    <row r="166" spans="14:14" x14ac:dyDescent="0.2">
      <c r="N166"/>
    </row>
    <row r="167" spans="14:14" x14ac:dyDescent="0.2">
      <c r="N167"/>
    </row>
    <row r="168" spans="14:14" x14ac:dyDescent="0.2">
      <c r="N168"/>
    </row>
    <row r="169" spans="14:14" x14ac:dyDescent="0.2">
      <c r="N169"/>
    </row>
    <row r="170" spans="14:14" x14ac:dyDescent="0.2">
      <c r="N170"/>
    </row>
    <row r="171" spans="14:14" x14ac:dyDescent="0.2">
      <c r="N171"/>
    </row>
    <row r="172" spans="14:14" x14ac:dyDescent="0.2">
      <c r="N172"/>
    </row>
    <row r="173" spans="14:14" x14ac:dyDescent="0.2">
      <c r="N173"/>
    </row>
    <row r="174" spans="14:14" x14ac:dyDescent="0.2">
      <c r="N174"/>
    </row>
    <row r="175" spans="14:14" x14ac:dyDescent="0.2">
      <c r="N175"/>
    </row>
    <row r="176" spans="14:14" x14ac:dyDescent="0.2">
      <c r="N176"/>
    </row>
    <row r="177" spans="14:14" x14ac:dyDescent="0.2">
      <c r="N177"/>
    </row>
    <row r="178" spans="14:14" x14ac:dyDescent="0.2">
      <c r="N178"/>
    </row>
    <row r="179" spans="14:14" x14ac:dyDescent="0.2">
      <c r="N179"/>
    </row>
    <row r="180" spans="14:14" x14ac:dyDescent="0.2">
      <c r="N180"/>
    </row>
    <row r="181" spans="14:14" x14ac:dyDescent="0.2">
      <c r="N181"/>
    </row>
    <row r="182" spans="14:14" x14ac:dyDescent="0.2">
      <c r="N182"/>
    </row>
    <row r="183" spans="14:14" x14ac:dyDescent="0.2">
      <c r="N183"/>
    </row>
    <row r="184" spans="14:14" x14ac:dyDescent="0.2">
      <c r="N184"/>
    </row>
    <row r="185" spans="14:14" x14ac:dyDescent="0.2">
      <c r="N185"/>
    </row>
    <row r="186" spans="14:14" x14ac:dyDescent="0.2">
      <c r="N186"/>
    </row>
    <row r="187" spans="14:14" x14ac:dyDescent="0.2">
      <c r="N187"/>
    </row>
    <row r="188" spans="14:14" x14ac:dyDescent="0.2">
      <c r="N188"/>
    </row>
    <row r="189" spans="14:14" x14ac:dyDescent="0.2">
      <c r="N189"/>
    </row>
    <row r="190" spans="14:14" x14ac:dyDescent="0.2">
      <c r="N190"/>
    </row>
    <row r="191" spans="14:14" x14ac:dyDescent="0.2">
      <c r="N191"/>
    </row>
    <row r="192" spans="14:14" x14ac:dyDescent="0.2">
      <c r="N192"/>
    </row>
    <row r="193" spans="14:14" x14ac:dyDescent="0.2">
      <c r="N193"/>
    </row>
    <row r="194" spans="14:14" x14ac:dyDescent="0.2">
      <c r="N194"/>
    </row>
    <row r="195" spans="14:14" x14ac:dyDescent="0.2">
      <c r="N195"/>
    </row>
    <row r="196" spans="14:14" x14ac:dyDescent="0.2">
      <c r="N196"/>
    </row>
    <row r="197" spans="14:14" x14ac:dyDescent="0.2">
      <c r="N197"/>
    </row>
    <row r="198" spans="14:14" x14ac:dyDescent="0.2">
      <c r="N198"/>
    </row>
    <row r="199" spans="14:14" x14ac:dyDescent="0.2">
      <c r="N199"/>
    </row>
    <row r="200" spans="14:14" x14ac:dyDescent="0.2">
      <c r="N200"/>
    </row>
    <row r="201" spans="14:14" x14ac:dyDescent="0.2">
      <c r="N201"/>
    </row>
    <row r="202" spans="14:14" x14ac:dyDescent="0.2">
      <c r="N202"/>
    </row>
    <row r="203" spans="14:14" x14ac:dyDescent="0.2">
      <c r="N203"/>
    </row>
    <row r="204" spans="14:14" x14ac:dyDescent="0.2">
      <c r="N204"/>
    </row>
    <row r="205" spans="14:14" x14ac:dyDescent="0.2">
      <c r="N205"/>
    </row>
    <row r="206" spans="14:14" x14ac:dyDescent="0.2">
      <c r="N206"/>
    </row>
    <row r="207" spans="14:14" x14ac:dyDescent="0.2">
      <c r="N207"/>
    </row>
    <row r="208" spans="14:14" x14ac:dyDescent="0.2">
      <c r="N208"/>
    </row>
    <row r="209" spans="14:14" x14ac:dyDescent="0.2">
      <c r="N209"/>
    </row>
    <row r="210" spans="14:14" x14ac:dyDescent="0.2">
      <c r="N210"/>
    </row>
    <row r="211" spans="14:14" x14ac:dyDescent="0.2">
      <c r="N211"/>
    </row>
    <row r="212" spans="14:14" x14ac:dyDescent="0.2">
      <c r="N212"/>
    </row>
    <row r="213" spans="14:14" x14ac:dyDescent="0.2">
      <c r="N213"/>
    </row>
    <row r="214" spans="14:14" x14ac:dyDescent="0.2">
      <c r="N214"/>
    </row>
    <row r="215" spans="14:14" x14ac:dyDescent="0.2">
      <c r="N215"/>
    </row>
    <row r="216" spans="14:14" x14ac:dyDescent="0.2">
      <c r="N216"/>
    </row>
    <row r="217" spans="14:14" x14ac:dyDescent="0.2">
      <c r="N217"/>
    </row>
    <row r="218" spans="14:14" x14ac:dyDescent="0.2">
      <c r="N218"/>
    </row>
    <row r="219" spans="14:14" x14ac:dyDescent="0.2">
      <c r="N219"/>
    </row>
    <row r="220" spans="14:14" x14ac:dyDescent="0.2">
      <c r="N220"/>
    </row>
    <row r="221" spans="14:14" x14ac:dyDescent="0.2">
      <c r="N221"/>
    </row>
    <row r="222" spans="14:14" x14ac:dyDescent="0.2">
      <c r="N222"/>
    </row>
    <row r="223" spans="14:14" x14ac:dyDescent="0.2">
      <c r="N223"/>
    </row>
    <row r="224" spans="14:14" x14ac:dyDescent="0.2">
      <c r="N224"/>
    </row>
    <row r="225" spans="14:14" x14ac:dyDescent="0.2">
      <c r="N225"/>
    </row>
    <row r="226" spans="14:14" x14ac:dyDescent="0.2">
      <c r="N226"/>
    </row>
    <row r="227" spans="14:14" x14ac:dyDescent="0.2">
      <c r="N227"/>
    </row>
    <row r="228" spans="14:14" x14ac:dyDescent="0.2">
      <c r="N228"/>
    </row>
    <row r="229" spans="14:14" x14ac:dyDescent="0.2">
      <c r="N229"/>
    </row>
    <row r="230" spans="14:14" x14ac:dyDescent="0.2">
      <c r="N230"/>
    </row>
    <row r="231" spans="14:14" x14ac:dyDescent="0.2">
      <c r="N231"/>
    </row>
    <row r="232" spans="14:14" x14ac:dyDescent="0.2">
      <c r="N232"/>
    </row>
    <row r="233" spans="14:14" x14ac:dyDescent="0.2">
      <c r="N233"/>
    </row>
    <row r="234" spans="14:14" x14ac:dyDescent="0.2">
      <c r="N234"/>
    </row>
    <row r="235" spans="14:14" x14ac:dyDescent="0.2">
      <c r="N235"/>
    </row>
    <row r="236" spans="14:14" x14ac:dyDescent="0.2">
      <c r="N236"/>
    </row>
    <row r="237" spans="14:14" x14ac:dyDescent="0.2">
      <c r="N237"/>
    </row>
    <row r="238" spans="14:14" x14ac:dyDescent="0.2">
      <c r="N238"/>
    </row>
    <row r="239" spans="14:14" x14ac:dyDescent="0.2">
      <c r="N239"/>
    </row>
    <row r="240" spans="14:14" x14ac:dyDescent="0.2">
      <c r="N240"/>
    </row>
    <row r="241" spans="14:14" x14ac:dyDescent="0.2">
      <c r="N241"/>
    </row>
    <row r="242" spans="14:14" x14ac:dyDescent="0.2">
      <c r="N242"/>
    </row>
    <row r="243" spans="14:14" x14ac:dyDescent="0.2">
      <c r="N243"/>
    </row>
    <row r="244" spans="14:14" x14ac:dyDescent="0.2">
      <c r="N244"/>
    </row>
    <row r="245" spans="14:14" x14ac:dyDescent="0.2">
      <c r="N245"/>
    </row>
    <row r="246" spans="14:14" x14ac:dyDescent="0.2">
      <c r="N246"/>
    </row>
    <row r="247" spans="14:14" x14ac:dyDescent="0.2">
      <c r="N247"/>
    </row>
    <row r="248" spans="14:14" x14ac:dyDescent="0.2">
      <c r="N248"/>
    </row>
    <row r="249" spans="14:14" x14ac:dyDescent="0.2">
      <c r="N249"/>
    </row>
    <row r="250" spans="14:14" x14ac:dyDescent="0.2">
      <c r="N250"/>
    </row>
    <row r="251" spans="14:14" x14ac:dyDescent="0.2">
      <c r="N251"/>
    </row>
    <row r="252" spans="14:14" x14ac:dyDescent="0.2">
      <c r="N252"/>
    </row>
    <row r="253" spans="14:14" x14ac:dyDescent="0.2">
      <c r="N253"/>
    </row>
    <row r="254" spans="14:14" x14ac:dyDescent="0.2">
      <c r="N254"/>
    </row>
    <row r="255" spans="14:14" x14ac:dyDescent="0.2">
      <c r="N255"/>
    </row>
    <row r="256" spans="14:14" x14ac:dyDescent="0.2">
      <c r="N256"/>
    </row>
    <row r="257" spans="14:14" x14ac:dyDescent="0.2">
      <c r="N257"/>
    </row>
    <row r="258" spans="14:14" x14ac:dyDescent="0.2">
      <c r="N258"/>
    </row>
    <row r="259" spans="14:14" x14ac:dyDescent="0.2">
      <c r="N259"/>
    </row>
    <row r="260" spans="14:14" x14ac:dyDescent="0.2">
      <c r="N260"/>
    </row>
    <row r="261" spans="14:14" x14ac:dyDescent="0.2">
      <c r="N261"/>
    </row>
    <row r="262" spans="14:14" x14ac:dyDescent="0.2">
      <c r="N262"/>
    </row>
    <row r="263" spans="14:14" x14ac:dyDescent="0.2">
      <c r="N263"/>
    </row>
    <row r="264" spans="14:14" x14ac:dyDescent="0.2">
      <c r="N264"/>
    </row>
    <row r="265" spans="14:14" x14ac:dyDescent="0.2">
      <c r="N265"/>
    </row>
    <row r="266" spans="14:14" x14ac:dyDescent="0.2">
      <c r="N266"/>
    </row>
    <row r="267" spans="14:14" x14ac:dyDescent="0.2">
      <c r="N267"/>
    </row>
    <row r="268" spans="14:14" x14ac:dyDescent="0.2">
      <c r="N268"/>
    </row>
    <row r="269" spans="14:14" x14ac:dyDescent="0.2">
      <c r="N269"/>
    </row>
    <row r="270" spans="14:14" x14ac:dyDescent="0.2">
      <c r="N270"/>
    </row>
    <row r="271" spans="14:14" x14ac:dyDescent="0.2">
      <c r="N271"/>
    </row>
    <row r="272" spans="14:14" x14ac:dyDescent="0.2">
      <c r="N272"/>
    </row>
    <row r="273" spans="14:14" x14ac:dyDescent="0.2">
      <c r="N273"/>
    </row>
    <row r="274" spans="14:14" x14ac:dyDescent="0.2">
      <c r="N274"/>
    </row>
    <row r="275" spans="14:14" x14ac:dyDescent="0.2">
      <c r="N275"/>
    </row>
    <row r="276" spans="14:14" x14ac:dyDescent="0.2">
      <c r="N276"/>
    </row>
    <row r="277" spans="14:14" x14ac:dyDescent="0.2">
      <c r="N277"/>
    </row>
    <row r="278" spans="14:14" x14ac:dyDescent="0.2">
      <c r="N278"/>
    </row>
    <row r="279" spans="14:14" x14ac:dyDescent="0.2">
      <c r="N279"/>
    </row>
    <row r="280" spans="14:14" x14ac:dyDescent="0.2">
      <c r="N280"/>
    </row>
    <row r="281" spans="14:14" x14ac:dyDescent="0.2">
      <c r="N281"/>
    </row>
    <row r="282" spans="14:14" x14ac:dyDescent="0.2">
      <c r="N282"/>
    </row>
    <row r="283" spans="14:14" x14ac:dyDescent="0.2">
      <c r="N283"/>
    </row>
    <row r="284" spans="14:14" x14ac:dyDescent="0.2">
      <c r="N284"/>
    </row>
    <row r="285" spans="14:14" x14ac:dyDescent="0.2">
      <c r="N285"/>
    </row>
    <row r="286" spans="14:14" x14ac:dyDescent="0.2">
      <c r="N286"/>
    </row>
    <row r="287" spans="14:14" x14ac:dyDescent="0.2">
      <c r="N287"/>
    </row>
    <row r="288" spans="14:14" x14ac:dyDescent="0.2">
      <c r="N288"/>
    </row>
    <row r="289" spans="14:14" x14ac:dyDescent="0.2">
      <c r="N289"/>
    </row>
    <row r="290" spans="14:14" x14ac:dyDescent="0.2">
      <c r="N290"/>
    </row>
    <row r="291" spans="14:14" x14ac:dyDescent="0.2">
      <c r="N291"/>
    </row>
    <row r="292" spans="14:14" x14ac:dyDescent="0.2">
      <c r="N292"/>
    </row>
    <row r="293" spans="14:14" x14ac:dyDescent="0.2">
      <c r="N293"/>
    </row>
    <row r="294" spans="14:14" x14ac:dyDescent="0.2">
      <c r="N294"/>
    </row>
    <row r="295" spans="14:14" x14ac:dyDescent="0.2">
      <c r="N295"/>
    </row>
    <row r="296" spans="14:14" x14ac:dyDescent="0.2">
      <c r="N296"/>
    </row>
    <row r="297" spans="14:14" x14ac:dyDescent="0.2">
      <c r="N297"/>
    </row>
    <row r="298" spans="14:14" x14ac:dyDescent="0.2">
      <c r="N298"/>
    </row>
    <row r="299" spans="14:14" x14ac:dyDescent="0.2">
      <c r="N299"/>
    </row>
    <row r="300" spans="14:14" x14ac:dyDescent="0.2">
      <c r="N300"/>
    </row>
    <row r="301" spans="14:14" x14ac:dyDescent="0.2">
      <c r="N301"/>
    </row>
    <row r="302" spans="14:14" x14ac:dyDescent="0.2">
      <c r="N302"/>
    </row>
    <row r="303" spans="14:14" x14ac:dyDescent="0.2">
      <c r="N303"/>
    </row>
    <row r="304" spans="14:14" x14ac:dyDescent="0.2">
      <c r="N304"/>
    </row>
    <row r="305" spans="14:14" x14ac:dyDescent="0.2">
      <c r="N305"/>
    </row>
    <row r="306" spans="14:14" x14ac:dyDescent="0.2">
      <c r="N306"/>
    </row>
    <row r="307" spans="14:14" x14ac:dyDescent="0.2">
      <c r="N307"/>
    </row>
    <row r="308" spans="14:14" x14ac:dyDescent="0.2">
      <c r="N308"/>
    </row>
    <row r="309" spans="14:14" x14ac:dyDescent="0.2">
      <c r="N309"/>
    </row>
    <row r="310" spans="14:14" x14ac:dyDescent="0.2">
      <c r="N310"/>
    </row>
    <row r="311" spans="14:14" x14ac:dyDescent="0.2">
      <c r="N311"/>
    </row>
    <row r="312" spans="14:14" x14ac:dyDescent="0.2">
      <c r="N312"/>
    </row>
    <row r="313" spans="14:14" x14ac:dyDescent="0.2">
      <c r="N313"/>
    </row>
    <row r="314" spans="14:14" x14ac:dyDescent="0.2">
      <c r="N314"/>
    </row>
    <row r="315" spans="14:14" x14ac:dyDescent="0.2">
      <c r="N315"/>
    </row>
    <row r="316" spans="14:14" x14ac:dyDescent="0.2">
      <c r="N316"/>
    </row>
    <row r="317" spans="14:14" x14ac:dyDescent="0.2">
      <c r="N317"/>
    </row>
    <row r="318" spans="14:14" x14ac:dyDescent="0.2">
      <c r="N318"/>
    </row>
    <row r="319" spans="14:14" x14ac:dyDescent="0.2">
      <c r="N319"/>
    </row>
    <row r="320" spans="14:14" x14ac:dyDescent="0.2">
      <c r="N320"/>
    </row>
    <row r="321" spans="14:14" x14ac:dyDescent="0.2">
      <c r="N321"/>
    </row>
    <row r="322" spans="14:14" x14ac:dyDescent="0.2">
      <c r="N322"/>
    </row>
    <row r="323" spans="14:14" x14ac:dyDescent="0.2">
      <c r="N323"/>
    </row>
    <row r="324" spans="14:14" x14ac:dyDescent="0.2">
      <c r="N324"/>
    </row>
    <row r="325" spans="14:14" x14ac:dyDescent="0.2">
      <c r="N325"/>
    </row>
    <row r="326" spans="14:14" x14ac:dyDescent="0.2">
      <c r="N326"/>
    </row>
    <row r="327" spans="14:14" x14ac:dyDescent="0.2">
      <c r="N327"/>
    </row>
    <row r="328" spans="14:14" x14ac:dyDescent="0.2">
      <c r="N328"/>
    </row>
    <row r="329" spans="14:14" x14ac:dyDescent="0.2">
      <c r="N329"/>
    </row>
    <row r="330" spans="14:14" x14ac:dyDescent="0.2">
      <c r="N330"/>
    </row>
    <row r="331" spans="14:14" x14ac:dyDescent="0.2">
      <c r="N331"/>
    </row>
    <row r="332" spans="14:14" x14ac:dyDescent="0.2">
      <c r="N332"/>
    </row>
    <row r="333" spans="14:14" x14ac:dyDescent="0.2">
      <c r="N333"/>
    </row>
    <row r="334" spans="14:14" x14ac:dyDescent="0.2">
      <c r="N334"/>
    </row>
    <row r="335" spans="14:14" x14ac:dyDescent="0.2">
      <c r="N335"/>
    </row>
    <row r="336" spans="14:14" x14ac:dyDescent="0.2">
      <c r="N336"/>
    </row>
    <row r="337" spans="14:14" x14ac:dyDescent="0.2">
      <c r="N337"/>
    </row>
    <row r="338" spans="14:14" x14ac:dyDescent="0.2">
      <c r="N338"/>
    </row>
    <row r="339" spans="14:14" x14ac:dyDescent="0.2">
      <c r="N339"/>
    </row>
    <row r="340" spans="14:14" x14ac:dyDescent="0.2">
      <c r="N340"/>
    </row>
    <row r="341" spans="14:14" x14ac:dyDescent="0.2">
      <c r="N341"/>
    </row>
    <row r="342" spans="14:14" x14ac:dyDescent="0.2">
      <c r="N342"/>
    </row>
    <row r="343" spans="14:14" x14ac:dyDescent="0.2">
      <c r="N343"/>
    </row>
    <row r="344" spans="14:14" x14ac:dyDescent="0.2">
      <c r="N344"/>
    </row>
    <row r="345" spans="14:14" x14ac:dyDescent="0.2">
      <c r="N345"/>
    </row>
    <row r="346" spans="14:14" x14ac:dyDescent="0.2">
      <c r="N346"/>
    </row>
    <row r="347" spans="14:14" x14ac:dyDescent="0.2">
      <c r="N347"/>
    </row>
    <row r="348" spans="14:14" x14ac:dyDescent="0.2">
      <c r="N348"/>
    </row>
    <row r="349" spans="14:14" x14ac:dyDescent="0.2">
      <c r="N349"/>
    </row>
    <row r="350" spans="14:14" x14ac:dyDescent="0.2">
      <c r="N350"/>
    </row>
    <row r="351" spans="14:14" x14ac:dyDescent="0.2">
      <c r="N351"/>
    </row>
    <row r="352" spans="14:14" x14ac:dyDescent="0.2">
      <c r="N352"/>
    </row>
    <row r="353" spans="14:14" x14ac:dyDescent="0.2">
      <c r="N353"/>
    </row>
    <row r="354" spans="14:14" x14ac:dyDescent="0.2">
      <c r="N354"/>
    </row>
    <row r="355" spans="14:14" x14ac:dyDescent="0.2">
      <c r="N355"/>
    </row>
    <row r="356" spans="14:14" x14ac:dyDescent="0.2">
      <c r="N356"/>
    </row>
    <row r="357" spans="14:14" x14ac:dyDescent="0.2">
      <c r="N357"/>
    </row>
    <row r="358" spans="14:14" x14ac:dyDescent="0.2">
      <c r="N358"/>
    </row>
    <row r="359" spans="14:14" x14ac:dyDescent="0.2">
      <c r="N359"/>
    </row>
    <row r="360" spans="14:14" x14ac:dyDescent="0.2">
      <c r="N360"/>
    </row>
    <row r="361" spans="14:14" x14ac:dyDescent="0.2">
      <c r="N361"/>
    </row>
    <row r="362" spans="14:14" x14ac:dyDescent="0.2">
      <c r="N362"/>
    </row>
    <row r="363" spans="14:14" x14ac:dyDescent="0.2">
      <c r="N363"/>
    </row>
    <row r="364" spans="14:14" x14ac:dyDescent="0.2">
      <c r="N364"/>
    </row>
    <row r="365" spans="14:14" x14ac:dyDescent="0.2">
      <c r="N365"/>
    </row>
    <row r="366" spans="14:14" x14ac:dyDescent="0.2">
      <c r="N366"/>
    </row>
    <row r="367" spans="14:14" x14ac:dyDescent="0.2">
      <c r="N367"/>
    </row>
    <row r="368" spans="14:14" x14ac:dyDescent="0.2">
      <c r="N368"/>
    </row>
    <row r="369" spans="14:14" x14ac:dyDescent="0.2">
      <c r="N369"/>
    </row>
    <row r="370" spans="14:14" x14ac:dyDescent="0.2">
      <c r="N370"/>
    </row>
    <row r="371" spans="14:14" x14ac:dyDescent="0.2">
      <c r="N371"/>
    </row>
    <row r="372" spans="14:14" x14ac:dyDescent="0.2">
      <c r="N372"/>
    </row>
    <row r="373" spans="14:14" x14ac:dyDescent="0.2">
      <c r="N373"/>
    </row>
    <row r="374" spans="14:14" x14ac:dyDescent="0.2">
      <c r="N374"/>
    </row>
    <row r="375" spans="14:14" x14ac:dyDescent="0.2">
      <c r="N375"/>
    </row>
    <row r="376" spans="14:14" x14ac:dyDescent="0.2">
      <c r="N376"/>
    </row>
    <row r="377" spans="14:14" x14ac:dyDescent="0.2">
      <c r="N377"/>
    </row>
    <row r="378" spans="14:14" x14ac:dyDescent="0.2">
      <c r="N378"/>
    </row>
    <row r="379" spans="14:14" x14ac:dyDescent="0.2">
      <c r="N379"/>
    </row>
    <row r="380" spans="14:14" x14ac:dyDescent="0.2">
      <c r="N380"/>
    </row>
    <row r="381" spans="14:14" x14ac:dyDescent="0.2">
      <c r="N381"/>
    </row>
    <row r="382" spans="14:14" x14ac:dyDescent="0.2">
      <c r="N382"/>
    </row>
    <row r="383" spans="14:14" x14ac:dyDescent="0.2">
      <c r="N383"/>
    </row>
    <row r="384" spans="14:14" x14ac:dyDescent="0.2">
      <c r="N384"/>
    </row>
    <row r="385" spans="14:14" x14ac:dyDescent="0.2">
      <c r="N385"/>
    </row>
    <row r="386" spans="14:14" x14ac:dyDescent="0.2">
      <c r="N386"/>
    </row>
    <row r="387" spans="14:14" x14ac:dyDescent="0.2">
      <c r="N387"/>
    </row>
    <row r="388" spans="14:14" x14ac:dyDescent="0.2">
      <c r="N388"/>
    </row>
    <row r="389" spans="14:14" x14ac:dyDescent="0.2">
      <c r="N389"/>
    </row>
    <row r="390" spans="14:14" x14ac:dyDescent="0.2">
      <c r="N390"/>
    </row>
    <row r="391" spans="14:14" x14ac:dyDescent="0.2">
      <c r="N391"/>
    </row>
    <row r="392" spans="14:14" x14ac:dyDescent="0.2">
      <c r="N392"/>
    </row>
    <row r="393" spans="14:14" x14ac:dyDescent="0.2">
      <c r="N393"/>
    </row>
    <row r="394" spans="14:14" x14ac:dyDescent="0.2">
      <c r="N394"/>
    </row>
    <row r="395" spans="14:14" x14ac:dyDescent="0.2">
      <c r="N395"/>
    </row>
    <row r="396" spans="14:14" x14ac:dyDescent="0.2">
      <c r="N396"/>
    </row>
    <row r="397" spans="14:14" x14ac:dyDescent="0.2">
      <c r="N397"/>
    </row>
    <row r="398" spans="14:14" x14ac:dyDescent="0.2">
      <c r="N398"/>
    </row>
    <row r="399" spans="14:14" x14ac:dyDescent="0.2">
      <c r="N399"/>
    </row>
    <row r="400" spans="14:14" x14ac:dyDescent="0.2">
      <c r="N400"/>
    </row>
    <row r="401" spans="14:14" x14ac:dyDescent="0.2">
      <c r="N401"/>
    </row>
    <row r="402" spans="14:14" x14ac:dyDescent="0.2">
      <c r="N402"/>
    </row>
    <row r="403" spans="14:14" x14ac:dyDescent="0.2">
      <c r="N403"/>
    </row>
    <row r="404" spans="14:14" x14ac:dyDescent="0.2">
      <c r="N404"/>
    </row>
    <row r="405" spans="14:14" x14ac:dyDescent="0.2">
      <c r="N405"/>
    </row>
    <row r="406" spans="14:14" x14ac:dyDescent="0.2">
      <c r="N406"/>
    </row>
    <row r="407" spans="14:14" x14ac:dyDescent="0.2">
      <c r="N407"/>
    </row>
    <row r="408" spans="14:14" x14ac:dyDescent="0.2">
      <c r="N408"/>
    </row>
    <row r="409" spans="14:14" x14ac:dyDescent="0.2">
      <c r="N409"/>
    </row>
    <row r="410" spans="14:14" x14ac:dyDescent="0.2">
      <c r="N410"/>
    </row>
    <row r="411" spans="14:14" x14ac:dyDescent="0.2">
      <c r="N411"/>
    </row>
    <row r="412" spans="14:14" x14ac:dyDescent="0.2">
      <c r="N412"/>
    </row>
    <row r="413" spans="14:14" x14ac:dyDescent="0.2">
      <c r="N413"/>
    </row>
    <row r="414" spans="14:14" x14ac:dyDescent="0.2">
      <c r="N414"/>
    </row>
    <row r="415" spans="14:14" x14ac:dyDescent="0.2">
      <c r="N415"/>
    </row>
    <row r="416" spans="14:14" x14ac:dyDescent="0.2">
      <c r="N416"/>
    </row>
    <row r="417" spans="14:14" x14ac:dyDescent="0.2">
      <c r="N417"/>
    </row>
    <row r="418" spans="14:14" x14ac:dyDescent="0.2">
      <c r="N418"/>
    </row>
    <row r="419" spans="14:14" x14ac:dyDescent="0.2">
      <c r="N419"/>
    </row>
    <row r="420" spans="14:14" x14ac:dyDescent="0.2">
      <c r="N420"/>
    </row>
    <row r="421" spans="14:14" x14ac:dyDescent="0.2">
      <c r="N421"/>
    </row>
    <row r="422" spans="14:14" x14ac:dyDescent="0.2">
      <c r="N422"/>
    </row>
    <row r="423" spans="14:14" x14ac:dyDescent="0.2">
      <c r="N423"/>
    </row>
    <row r="424" spans="14:14" x14ac:dyDescent="0.2">
      <c r="N424"/>
    </row>
    <row r="425" spans="14:14" x14ac:dyDescent="0.2">
      <c r="N425"/>
    </row>
    <row r="426" spans="14:14" x14ac:dyDescent="0.2">
      <c r="N426"/>
    </row>
    <row r="427" spans="14:14" x14ac:dyDescent="0.2">
      <c r="N427"/>
    </row>
    <row r="428" spans="14:14" x14ac:dyDescent="0.2">
      <c r="N428"/>
    </row>
    <row r="429" spans="14:14" x14ac:dyDescent="0.2">
      <c r="N429"/>
    </row>
    <row r="430" spans="14:14" x14ac:dyDescent="0.2">
      <c r="N430"/>
    </row>
    <row r="431" spans="14:14" x14ac:dyDescent="0.2">
      <c r="N431"/>
    </row>
    <row r="432" spans="14:14" x14ac:dyDescent="0.2">
      <c r="N432"/>
    </row>
    <row r="433" spans="14:14" x14ac:dyDescent="0.2">
      <c r="N433"/>
    </row>
    <row r="434" spans="14:14" x14ac:dyDescent="0.2">
      <c r="N434"/>
    </row>
    <row r="435" spans="14:14" x14ac:dyDescent="0.2">
      <c r="N435"/>
    </row>
    <row r="436" spans="14:14" x14ac:dyDescent="0.2">
      <c r="N436"/>
    </row>
    <row r="437" spans="14:14" x14ac:dyDescent="0.2">
      <c r="N437"/>
    </row>
    <row r="438" spans="14:14" x14ac:dyDescent="0.2">
      <c r="N438"/>
    </row>
    <row r="439" spans="14:14" x14ac:dyDescent="0.2">
      <c r="N439"/>
    </row>
    <row r="440" spans="14:14" x14ac:dyDescent="0.2">
      <c r="N440"/>
    </row>
    <row r="441" spans="14:14" x14ac:dyDescent="0.2">
      <c r="N441"/>
    </row>
    <row r="442" spans="14:14" x14ac:dyDescent="0.2">
      <c r="N442"/>
    </row>
    <row r="443" spans="14:14" x14ac:dyDescent="0.2">
      <c r="N443"/>
    </row>
    <row r="444" spans="14:14" x14ac:dyDescent="0.2">
      <c r="N444"/>
    </row>
    <row r="445" spans="14:14" x14ac:dyDescent="0.2">
      <c r="N445"/>
    </row>
    <row r="446" spans="14:14" x14ac:dyDescent="0.2">
      <c r="N446"/>
    </row>
    <row r="447" spans="14:14" x14ac:dyDescent="0.2">
      <c r="N447"/>
    </row>
    <row r="448" spans="14:14" x14ac:dyDescent="0.2">
      <c r="N448"/>
    </row>
    <row r="449" spans="14:14" x14ac:dyDescent="0.2">
      <c r="N449"/>
    </row>
    <row r="450" spans="14:14" x14ac:dyDescent="0.2">
      <c r="N450"/>
    </row>
    <row r="451" spans="14:14" x14ac:dyDescent="0.2">
      <c r="N451"/>
    </row>
    <row r="452" spans="14:14" x14ac:dyDescent="0.2">
      <c r="N452"/>
    </row>
    <row r="453" spans="14:14" x14ac:dyDescent="0.2">
      <c r="N453"/>
    </row>
    <row r="454" spans="14:14" x14ac:dyDescent="0.2">
      <c r="N454"/>
    </row>
    <row r="455" spans="14:14" x14ac:dyDescent="0.2">
      <c r="N455"/>
    </row>
    <row r="456" spans="14:14" x14ac:dyDescent="0.2">
      <c r="N456"/>
    </row>
    <row r="457" spans="14:14" x14ac:dyDescent="0.2">
      <c r="N457"/>
    </row>
    <row r="458" spans="14:14" x14ac:dyDescent="0.2">
      <c r="N458"/>
    </row>
    <row r="459" spans="14:14" x14ac:dyDescent="0.2">
      <c r="N459"/>
    </row>
    <row r="460" spans="14:14" x14ac:dyDescent="0.2">
      <c r="N460"/>
    </row>
    <row r="461" spans="14:14" x14ac:dyDescent="0.2">
      <c r="N461"/>
    </row>
    <row r="462" spans="14:14" x14ac:dyDescent="0.2">
      <c r="N462"/>
    </row>
    <row r="463" spans="14:14" x14ac:dyDescent="0.2">
      <c r="N463"/>
    </row>
    <row r="464" spans="14:14" x14ac:dyDescent="0.2">
      <c r="N464"/>
    </row>
    <row r="465" spans="14:14" x14ac:dyDescent="0.2">
      <c r="N465"/>
    </row>
    <row r="466" spans="14:14" x14ac:dyDescent="0.2">
      <c r="N466"/>
    </row>
    <row r="467" spans="14:14" x14ac:dyDescent="0.2">
      <c r="N467"/>
    </row>
    <row r="468" spans="14:14" x14ac:dyDescent="0.2">
      <c r="N468"/>
    </row>
    <row r="469" spans="14:14" x14ac:dyDescent="0.2">
      <c r="N469"/>
    </row>
    <row r="470" spans="14:14" x14ac:dyDescent="0.2">
      <c r="N470"/>
    </row>
    <row r="471" spans="14:14" x14ac:dyDescent="0.2">
      <c r="N471"/>
    </row>
    <row r="472" spans="14:14" x14ac:dyDescent="0.2">
      <c r="N472"/>
    </row>
    <row r="473" spans="14:14" x14ac:dyDescent="0.2">
      <c r="N473"/>
    </row>
    <row r="474" spans="14:14" x14ac:dyDescent="0.2">
      <c r="N474"/>
    </row>
    <row r="475" spans="14:14" x14ac:dyDescent="0.2">
      <c r="N475"/>
    </row>
    <row r="476" spans="14:14" x14ac:dyDescent="0.2">
      <c r="N476"/>
    </row>
    <row r="477" spans="14:14" x14ac:dyDescent="0.2">
      <c r="N477"/>
    </row>
    <row r="478" spans="14:14" x14ac:dyDescent="0.2">
      <c r="N478"/>
    </row>
    <row r="479" spans="14:14" x14ac:dyDescent="0.2">
      <c r="N479"/>
    </row>
    <row r="480" spans="14:14" x14ac:dyDescent="0.2">
      <c r="N480"/>
    </row>
    <row r="481" spans="14:14" x14ac:dyDescent="0.2">
      <c r="N481"/>
    </row>
    <row r="482" spans="14:14" x14ac:dyDescent="0.2">
      <c r="N482"/>
    </row>
    <row r="483" spans="14:14" x14ac:dyDescent="0.2">
      <c r="N483"/>
    </row>
    <row r="484" spans="14:14" x14ac:dyDescent="0.2">
      <c r="N484"/>
    </row>
    <row r="485" spans="14:14" x14ac:dyDescent="0.2">
      <c r="N485"/>
    </row>
    <row r="486" spans="14:14" x14ac:dyDescent="0.2">
      <c r="N486"/>
    </row>
    <row r="487" spans="14:14" x14ac:dyDescent="0.2">
      <c r="N487"/>
    </row>
    <row r="488" spans="14:14" x14ac:dyDescent="0.2">
      <c r="N488"/>
    </row>
    <row r="489" spans="14:14" x14ac:dyDescent="0.2">
      <c r="N489"/>
    </row>
    <row r="490" spans="14:14" x14ac:dyDescent="0.2">
      <c r="N490"/>
    </row>
    <row r="491" spans="14:14" x14ac:dyDescent="0.2">
      <c r="N491"/>
    </row>
    <row r="492" spans="14:14" x14ac:dyDescent="0.2">
      <c r="N492"/>
    </row>
    <row r="493" spans="14:14" x14ac:dyDescent="0.2">
      <c r="N493"/>
    </row>
    <row r="494" spans="14:14" x14ac:dyDescent="0.2">
      <c r="N494"/>
    </row>
    <row r="495" spans="14:14" x14ac:dyDescent="0.2">
      <c r="N495"/>
    </row>
    <row r="496" spans="14:14" x14ac:dyDescent="0.2">
      <c r="N496"/>
    </row>
    <row r="497" spans="14:14" x14ac:dyDescent="0.2">
      <c r="N497"/>
    </row>
    <row r="498" spans="14:14" x14ac:dyDescent="0.2">
      <c r="N498"/>
    </row>
    <row r="499" spans="14:14" x14ac:dyDescent="0.2">
      <c r="N499"/>
    </row>
    <row r="500" spans="14:14" x14ac:dyDescent="0.2">
      <c r="N500"/>
    </row>
    <row r="501" spans="14:14" x14ac:dyDescent="0.2">
      <c r="N501"/>
    </row>
    <row r="502" spans="14:14" x14ac:dyDescent="0.2">
      <c r="N502"/>
    </row>
    <row r="503" spans="14:14" x14ac:dyDescent="0.2">
      <c r="N503"/>
    </row>
    <row r="504" spans="14:14" x14ac:dyDescent="0.2">
      <c r="N504"/>
    </row>
    <row r="505" spans="14:14" x14ac:dyDescent="0.2">
      <c r="N505"/>
    </row>
    <row r="506" spans="14:14" x14ac:dyDescent="0.2">
      <c r="N506"/>
    </row>
    <row r="507" spans="14:14" x14ac:dyDescent="0.2">
      <c r="N507"/>
    </row>
    <row r="508" spans="14:14" x14ac:dyDescent="0.2">
      <c r="N508"/>
    </row>
    <row r="509" spans="14:14" x14ac:dyDescent="0.2">
      <c r="N509"/>
    </row>
    <row r="510" spans="14:14" x14ac:dyDescent="0.2">
      <c r="N510"/>
    </row>
    <row r="511" spans="14:14" x14ac:dyDescent="0.2">
      <c r="N511"/>
    </row>
    <row r="512" spans="14:14" x14ac:dyDescent="0.2">
      <c r="N512"/>
    </row>
    <row r="513" spans="14:14" x14ac:dyDescent="0.2">
      <c r="N513"/>
    </row>
    <row r="514" spans="14:14" x14ac:dyDescent="0.2">
      <c r="N514"/>
    </row>
    <row r="515" spans="14:14" x14ac:dyDescent="0.2">
      <c r="N515"/>
    </row>
    <row r="516" spans="14:14" x14ac:dyDescent="0.2">
      <c r="N516"/>
    </row>
  </sheetData>
  <sheetProtection autoFilter="0"/>
  <pageMargins left="0.7" right="0.7" top="0.75" bottom="0.75" header="0.3" footer="0.3"/>
  <pageSetup paperSize="9"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2A3D-A801-4711-A68D-5522059B23AB}">
  <sheetPr>
    <tabColor theme="5"/>
  </sheetPr>
  <dimension ref="L17"/>
  <sheetViews>
    <sheetView showGridLines="0" tabSelected="1" zoomScaleNormal="100" workbookViewId="0"/>
  </sheetViews>
  <sheetFormatPr defaultRowHeight="14.25" x14ac:dyDescent="0.2"/>
  <cols>
    <col min="1" max="16384" width="9" style="11"/>
  </cols>
  <sheetData>
    <row r="17" spans="12:12" x14ac:dyDescent="0.2">
      <c r="L17" s="13"/>
    </row>
  </sheetData>
  <sheetProtection algorithmName="SHA-512" hashValue="zUBtpDhlBoEi4x0xRNJFja9ZdBcw/hBb+IHTTSJAJ18EkbISARJldz+zMB4FVfQRmdBcztWXC/eS0Ty//iloOQ==" saltValue="3N/bsrRXNmVcsjLeZ3oQIA==" spinCount="100000" sheet="1" objects="1" scenarios="1"/>
  <dataConsolidate/>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E922183-8FBD-4596-B7BE-42420FF7526C}">
  <ds:schemaRefs/>
</ds:datastoreItem>
</file>

<file path=customXml/itemProps2.xml><?xml version="1.0" encoding="utf-8"?>
<ds:datastoreItem xmlns:ds="http://schemas.openxmlformats.org/officeDocument/2006/customXml" ds:itemID="{1EB93C8E-9E24-4938-B812-946443E82C5A}">
  <ds:schemaRefs/>
</ds:datastoreItem>
</file>

<file path=customXml/itemProps3.xml><?xml version="1.0" encoding="utf-8"?>
<ds:datastoreItem xmlns:ds="http://schemas.openxmlformats.org/officeDocument/2006/customXml" ds:itemID="{897CC0E2-5D10-4356-9FBF-ADC222902295}">
  <ds:schemaRefs/>
</ds:datastoreItem>
</file>

<file path=customXml/itemProps4.xml><?xml version="1.0" encoding="utf-8"?>
<ds:datastoreItem xmlns:ds="http://schemas.openxmlformats.org/officeDocument/2006/customXml" ds:itemID="{482757E5-84BA-41C8-9850-05EFE0DCC0A9}">
  <ds:schemaRefs/>
</ds:datastoreItem>
</file>

<file path=customXml/itemProps5.xml><?xml version="1.0" encoding="utf-8"?>
<ds:datastoreItem xmlns:ds="http://schemas.openxmlformats.org/officeDocument/2006/customXml" ds:itemID="{850404D4-E03A-4F0E-A011-4D650FEB8C6F}">
  <ds:schemaRefs/>
</ds:datastoreItem>
</file>

<file path=customXml/itemProps6.xml><?xml version="1.0" encoding="utf-8"?>
<ds:datastoreItem xmlns:ds="http://schemas.openxmlformats.org/officeDocument/2006/customXml" ds:itemID="{E1A251AD-4F7B-4860-B311-109AD766B1BB}">
  <ds:schemaRefs/>
</ds:datastoreItem>
</file>

<file path=customXml/itemProps7.xml><?xml version="1.0" encoding="utf-8"?>
<ds:datastoreItem xmlns:ds="http://schemas.openxmlformats.org/officeDocument/2006/customXml" ds:itemID="{555637E3-A080-4A8C-9134-A5B7FA44E189}">
  <ds:schemaRefs/>
</ds:datastoreItem>
</file>

<file path=customXml/itemProps8.xml><?xml version="1.0" encoding="utf-8"?>
<ds:datastoreItem xmlns:ds="http://schemas.openxmlformats.org/officeDocument/2006/customXml" ds:itemID="{7EAD0FA7-8A99-4EAB-BDBD-15DD9AA2EB81}">
  <ds:schemaRefs/>
</ds:datastoreItem>
</file>

<file path=customXml/itemProps9.xml><?xml version="1.0" encoding="utf-8"?>
<ds:datastoreItem xmlns:ds="http://schemas.openxmlformats.org/officeDocument/2006/customXml" ds:itemID="{9F82B734-D839-480F-95E5-3D2D228DDD2D}">
  <ds:schemaRefs/>
</ds:datastoreItem>
</file>

<file path=customXml/itemProps10.xml><?xml version="1.0" encoding="utf-8"?>
<ds:datastoreItem xmlns:ds="http://schemas.openxmlformats.org/officeDocument/2006/customXml" ds:itemID="{5D168F40-6898-4C72-B2F2-1A0BF2F4B000}">
  <ds:schemaRefs/>
</ds:datastoreItem>
</file>

<file path=customXml/itemProps11.xml><?xml version="1.0" encoding="utf-8"?>
<ds:datastoreItem xmlns:ds="http://schemas.openxmlformats.org/officeDocument/2006/customXml" ds:itemID="{B1280C6F-12A5-4823-8BAF-52CEF89435B8}">
  <ds:schemaRefs/>
</ds:datastoreItem>
</file>

<file path=customXml/itemProps12.xml><?xml version="1.0" encoding="utf-8"?>
<ds:datastoreItem xmlns:ds="http://schemas.openxmlformats.org/officeDocument/2006/customXml" ds:itemID="{DBD55B3F-1E0D-4F6C-A569-3C1BB59E3E1C}">
  <ds:schemaRefs/>
</ds:datastoreItem>
</file>

<file path=customXml/itemProps13.xml><?xml version="1.0" encoding="utf-8"?>
<ds:datastoreItem xmlns:ds="http://schemas.openxmlformats.org/officeDocument/2006/customXml" ds:itemID="{6754E8B4-A609-4230-8851-49AD840F3434}">
  <ds:schemaRefs/>
</ds:datastoreItem>
</file>

<file path=customXml/itemProps14.xml><?xml version="1.0" encoding="utf-8"?>
<ds:datastoreItem xmlns:ds="http://schemas.openxmlformats.org/officeDocument/2006/customXml" ds:itemID="{59ACF413-6E7B-476D-8D65-839A68BB882B}">
  <ds:schemaRefs/>
</ds:datastoreItem>
</file>

<file path=customXml/itemProps15.xml><?xml version="1.0" encoding="utf-8"?>
<ds:datastoreItem xmlns:ds="http://schemas.openxmlformats.org/officeDocument/2006/customXml" ds:itemID="{747887DA-BD25-454E-A78E-4F2A128930C3}">
  <ds:schemaRefs/>
</ds:datastoreItem>
</file>

<file path=customXml/itemProps16.xml><?xml version="1.0" encoding="utf-8"?>
<ds:datastoreItem xmlns:ds="http://schemas.openxmlformats.org/officeDocument/2006/customXml" ds:itemID="{9AC7DE83-7508-4F34-B702-40B7F396D57C}">
  <ds:schemaRefs/>
</ds:datastoreItem>
</file>

<file path=customXml/itemProps17.xml><?xml version="1.0" encoding="utf-8"?>
<ds:datastoreItem xmlns:ds="http://schemas.openxmlformats.org/officeDocument/2006/customXml" ds:itemID="{FCAC1C1C-1BDF-49A8-91E7-AF0A61B478B1}">
  <ds:schemaRefs/>
</ds:datastoreItem>
</file>

<file path=customXml/itemProps18.xml><?xml version="1.0" encoding="utf-8"?>
<ds:datastoreItem xmlns:ds="http://schemas.openxmlformats.org/officeDocument/2006/customXml" ds:itemID="{5F0DE518-4559-4F9C-AEC7-423DEC3CAACF}">
  <ds:schemaRefs/>
</ds:datastoreItem>
</file>

<file path=customXml/itemProps19.xml><?xml version="1.0" encoding="utf-8"?>
<ds:datastoreItem xmlns:ds="http://schemas.openxmlformats.org/officeDocument/2006/customXml" ds:itemID="{C40F554D-0A2E-4EB8-8844-1965EE2AE322}">
  <ds:schemaRefs/>
</ds:datastoreItem>
</file>

<file path=customXml/itemProps20.xml><?xml version="1.0" encoding="utf-8"?>
<ds:datastoreItem xmlns:ds="http://schemas.openxmlformats.org/officeDocument/2006/customXml" ds:itemID="{9E4CD367-ADFF-4395-B0A4-3D4DBB0B979B}">
  <ds:schemaRefs/>
</ds:datastoreItem>
</file>

<file path=customXml/itemProps21.xml><?xml version="1.0" encoding="utf-8"?>
<ds:datastoreItem xmlns:ds="http://schemas.openxmlformats.org/officeDocument/2006/customXml" ds:itemID="{4B7324D6-027B-42C6-8D3B-52D7BDC0ADB5}">
  <ds:schemaRefs/>
</ds:datastoreItem>
</file>

<file path=customXml/itemProps22.xml><?xml version="1.0" encoding="utf-8"?>
<ds:datastoreItem xmlns:ds="http://schemas.openxmlformats.org/officeDocument/2006/customXml" ds:itemID="{C7878877-727C-472B-89A8-C2FE984A7847}">
  <ds:schemaRefs/>
</ds:datastoreItem>
</file>

<file path=customXml/itemProps23.xml><?xml version="1.0" encoding="utf-8"?>
<ds:datastoreItem xmlns:ds="http://schemas.openxmlformats.org/officeDocument/2006/customXml" ds:itemID="{34194FCC-CC00-46C5-AEFF-86C287FB3790}">
  <ds:schemaRefs/>
</ds:datastoreItem>
</file>

<file path=customXml/itemProps24.xml><?xml version="1.0" encoding="utf-8"?>
<ds:datastoreItem xmlns:ds="http://schemas.openxmlformats.org/officeDocument/2006/customXml" ds:itemID="{9B22D537-3E67-4D16-9847-27780B144768}">
  <ds:schemaRefs>
    <ds:schemaRef ds:uri="http://schemas.microsoft.com/DataMashup"/>
  </ds:schemaRefs>
</ds:datastoreItem>
</file>

<file path=customXml/itemProps25.xml><?xml version="1.0" encoding="utf-8"?>
<ds:datastoreItem xmlns:ds="http://schemas.openxmlformats.org/officeDocument/2006/customXml" ds:itemID="{698EC69C-4066-4D19-A270-5129297E920F}">
  <ds:schemaRefs/>
</ds:datastoreItem>
</file>

<file path=customXml/itemProps26.xml><?xml version="1.0" encoding="utf-8"?>
<ds:datastoreItem xmlns:ds="http://schemas.openxmlformats.org/officeDocument/2006/customXml" ds:itemID="{2E98434E-2AB6-4FBA-B836-7DF7D7DA367F}">
  <ds:schemaRefs/>
</ds:datastoreItem>
</file>

<file path=customXml/itemProps27.xml><?xml version="1.0" encoding="utf-8"?>
<ds:datastoreItem xmlns:ds="http://schemas.openxmlformats.org/officeDocument/2006/customXml" ds:itemID="{BF991A93-F3C8-4A04-A423-C1D7F3A275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sours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Radi</dc:creator>
  <cp:lastModifiedBy>Abdelrahman Mohamed Rady</cp:lastModifiedBy>
  <cp:lastPrinted>2026-02-23T09:08:56Z</cp:lastPrinted>
  <dcterms:created xsi:type="dcterms:W3CDTF">2025-11-25T00:41:28Z</dcterms:created>
  <dcterms:modified xsi:type="dcterms:W3CDTF">2026-02-24T09:36:03Z</dcterms:modified>
</cp:coreProperties>
</file>